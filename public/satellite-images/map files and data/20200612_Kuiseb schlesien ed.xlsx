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4f8c095b6a760a/Atlas/4. Water/surface water/Ephemeral river flows/"/>
    </mc:Choice>
  </mc:AlternateContent>
  <xr:revisionPtr revIDLastSave="7" documentId="11_FA8BB38E2D2292602217E32BBE311132A5BD73D6" xr6:coauthVersionLast="45" xr6:coauthVersionMax="45" xr10:uidLastSave="{58E170FA-5A24-4D28-A6B2-F18120B03D54}"/>
  <bookViews>
    <workbookView xWindow="-120" yWindow="-120" windowWidth="29040" windowHeight="15990" activeTab="1" xr2:uid="{00000000-000D-0000-FFFF-FFFF00000000}"/>
  </bookViews>
  <sheets>
    <sheet name="Schlesien Weir" sheetId="1" r:id="rId1"/>
    <sheet name="Graph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3" i="2" l="1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</calcChain>
</file>

<file path=xl/sharedStrings.xml><?xml version="1.0" encoding="utf-8"?>
<sst xmlns="http://schemas.openxmlformats.org/spreadsheetml/2006/main" count="282" uniqueCount="120">
  <si>
    <t>Figures are for period starting 00:00</t>
  </si>
  <si>
    <t>Year</t>
  </si>
  <si>
    <t>Missing Days</t>
  </si>
  <si>
    <t>1960/61</t>
  </si>
  <si>
    <t>[1.24]</t>
  </si>
  <si>
    <t>[9.90]</t>
  </si>
  <si>
    <t>1961/62</t>
  </si>
  <si>
    <t>[0.00]</t>
  </si>
  <si>
    <t>1962/63</t>
  </si>
  <si>
    <t>1963/64</t>
  </si>
  <si>
    <t>1964/65</t>
  </si>
  <si>
    <t>1965/66</t>
  </si>
  <si>
    <t>1966/67</t>
  </si>
  <si>
    <t>1967/68</t>
  </si>
  <si>
    <t>1968/69</t>
  </si>
  <si>
    <t>E</t>
  </si>
  <si>
    <t>[2.63]</t>
  </si>
  <si>
    <t>[31.56]</t>
  </si>
  <si>
    <t>1969/70</t>
  </si>
  <si>
    <t>1970/71</t>
  </si>
  <si>
    <t>1971/72</t>
  </si>
  <si>
    <t>[0.72]</t>
  </si>
  <si>
    <t>[7.20]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</si>
  <si>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</si>
  <si>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</si>
  <si>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</si>
  <si>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</si>
  <si>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</si>
  <si>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</si>
  <si>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</si>
  <si>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</si>
  <si>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</si>
  <si>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</si>
  <si>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</si>
  <si>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</si>
  <si>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</si>
  <si>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</si>
  <si>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[0.90]</t>
  </si>
  <si>
    <t>[10.86]</t>
  </si>
  <si>
    <t>1986/87</t>
  </si>
  <si>
    <t>1987/88</t>
  </si>
  <si>
    <t>1988/89</t>
  </si>
  <si>
    <t>1989/90</t>
  </si>
  <si>
    <t>[1.05]</t>
  </si>
  <si>
    <t>[12.61]</t>
  </si>
  <si>
    <t>1990/91</t>
  </si>
  <si>
    <t>1991/92</t>
  </si>
  <si>
    <t>1992/93</t>
  </si>
  <si>
    <t>1993/94</t>
  </si>
  <si>
    <t>1994/95</t>
  </si>
  <si>
    <t>------------------ Notes -------------------</t>
  </si>
  <si>
    <t>All recorded data is continuous and reliable</t>
  </si>
  <si>
    <t>except where the following tags are used...</t>
  </si>
  <si>
    <t>* ...  Reliable Estimate</t>
  </si>
  <si>
    <t>E ...  Estimated</t>
  </si>
  <si>
    <t>M ...  Missing Data</t>
  </si>
  <si>
    <t>[    ] Data Not Recorded</t>
  </si>
  <si>
    <t>1995/96</t>
  </si>
  <si>
    <t>[0.10]</t>
  </si>
  <si>
    <t>[1.23]</t>
  </si>
  <si>
    <t>1996/97</t>
  </si>
  <si>
    <t>1997/98</t>
  </si>
  <si>
    <t>[0.18]</t>
  </si>
  <si>
    <t>[0.02]</t>
  </si>
  <si>
    <t>1998/99</t>
  </si>
  <si>
    <t>1999/0</t>
  </si>
  <si>
    <t>[0.63]</t>
  </si>
  <si>
    <t>[7.56]</t>
  </si>
  <si>
    <t>2000/1</t>
  </si>
  <si>
    <t>2001/2</t>
  </si>
  <si>
    <t>2002/3</t>
  </si>
  <si>
    <t>2003/4</t>
  </si>
  <si>
    <t>[0.60]</t>
  </si>
  <si>
    <t>[7.25]</t>
  </si>
  <si>
    <t>2004/5</t>
  </si>
  <si>
    <t>2005/6</t>
  </si>
  <si>
    <t>2006/7</t>
  </si>
  <si>
    <t>2007/8</t>
  </si>
  <si>
    <t>2008/9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</si>
  <si>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</si>
  <si>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</si>
  <si>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</si>
  <si>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</si>
  <si>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</si>
  <si>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</si>
  <si>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</si>
  <si>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</si>
  <si>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[0.36]</t>
  </si>
  <si>
    <t>2017/18</t>
  </si>
  <si>
    <t>[0.01]</t>
  </si>
  <si>
    <t>[0.04]</t>
  </si>
  <si>
    <r>
      <t>Monthly Mean (10</t>
    </r>
    <r>
      <rPr>
        <b/>
        <vertAlign val="super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 xml:space="preserve"> m</t>
    </r>
    <r>
      <rPr>
        <b/>
        <sz val="11"/>
        <color theme="1"/>
        <rFont val="Calibri"/>
        <family val="2"/>
      </rPr>
      <t>³)</t>
    </r>
  </si>
  <si>
    <t>Qual</t>
  </si>
  <si>
    <r>
      <t>Annual Total (10</t>
    </r>
    <r>
      <rPr>
        <b/>
        <vertAlign val="super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 xml:space="preserve"> m³)</t>
    </r>
  </si>
  <si>
    <t>Latitude: 23°16'00.0"S</t>
  </si>
  <si>
    <t>Longitude: 15°48'00.0"E</t>
  </si>
  <si>
    <r>
      <t xml:space="preserve"> Monthly Mean (m</t>
    </r>
    <r>
      <rPr>
        <b/>
        <sz val="11"/>
        <color theme="1"/>
        <rFont val="Calibri"/>
        <family val="2"/>
      </rPr>
      <t>³/s)</t>
    </r>
  </si>
  <si>
    <t>[2.08]</t>
  </si>
  <si>
    <t>[0.23]</t>
  </si>
  <si>
    <t>[0.25]</t>
  </si>
  <si>
    <t>[0.42]</t>
  </si>
  <si>
    <t>[0.44]</t>
  </si>
  <si>
    <t>[3.23]</t>
  </si>
  <si>
    <t>[0.47]</t>
  </si>
  <si>
    <t>Annual Max (m³/s)</t>
  </si>
  <si>
    <t>[165.4 ]</t>
  </si>
  <si>
    <t>[0.20]</t>
  </si>
  <si>
    <t>[205.6 ]</t>
  </si>
  <si>
    <t>[184.7 ]</t>
  </si>
  <si>
    <t>[151.2 ]</t>
  </si>
  <si>
    <t>[121.3 ]</t>
  </si>
  <si>
    <t>[16.24]</t>
  </si>
  <si>
    <t>[3.35]</t>
  </si>
  <si>
    <t>[150.2 ]</t>
  </si>
  <si>
    <t>[56.71]</t>
  </si>
  <si>
    <t>[8.11]</t>
  </si>
  <si>
    <t>2991M01 - Kuiseb River at Schlesien Weir</t>
  </si>
  <si>
    <r>
      <t>Annual Total (10</t>
    </r>
    <r>
      <rPr>
        <b/>
        <vertAlign val="super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 xml:space="preserve"> m³)</t>
    </r>
  </si>
  <si>
    <t>6530km2</t>
  </si>
  <si>
    <t>Catchment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</si>
</sst>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1" fillId="0" borderId="0" xfId="0" applyFont="1" applyFill="1"/>
    <xf numFmtId="164" fontId="0" fillId="0" borderId="0" xfId="0" applyNumberFormat="1" applyAlignment="1">
      <alignment horizontal="right"/>
    </xf>
    <xf numFmtId="16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/>
    </xf>
    <xf numFmtId="0" fontId="1" fillId="0" borderId="0" xfId="0" applyFont="1" applyAlignment="1"/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" fontId="4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Kuiseb</a:t>
            </a:r>
            <a:r>
              <a:rPr lang="en-GB" baseline="0"/>
              <a:t> at schlesien weir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Annual Max (m3/s)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[1]Graph!$A$6:$A$57</c:f>
              <c:strCache>
                <c:ptCount val="52"/>
                <c:pt idx="0">
                  <c:v>1967/68</c:v>
                </c:pt>
                <c:pt idx="1">
                  <c:v>1968/69</c:v>
                </c:pt>
                <c:pt idx="2">
                  <c:v>1969/70</c:v>
                </c:pt>
                <c:pt idx="3">
                  <c:v>1970/71</c:v>
                </c:pt>
                <c:pt idx="4">
                  <c:v>1971/72</c:v>
                </c:pt>
                <c:pt idx="5">
                  <c:v>1972/73</c:v>
                </c:pt>
                <c:pt idx="6">
                  <c:v>1973/74</c:v>
                </c:pt>
                <c:pt idx="7">
                  <c:v>1974/75</c:v>
                </c:pt>
                <c:pt idx="8">
                  <c:v>1975/76</c:v>
                </c:pt>
                <c:pt idx="9">
                  <c:v>1976/77</c:v>
                </c:pt>
                <c:pt idx="10">
                  <c:v>1977/78</c:v>
                </c:pt>
                <c:pt idx="11">
                  <c:v>1978/79</c:v>
                </c:pt>
                <c:pt idx="12">
                  <c:v>1979/80</c:v>
                </c:pt>
                <c:pt idx="13">
                  <c:v>1980/81</c:v>
                </c:pt>
                <c:pt idx="14">
                  <c:v>1981/82</c:v>
                </c:pt>
                <c:pt idx="15">
                  <c:v>1982/83</c:v>
                </c:pt>
                <c:pt idx="16">
                  <c:v>1983/84</c:v>
                </c:pt>
                <c:pt idx="17">
                  <c:v>1984/85</c:v>
                </c:pt>
                <c:pt idx="18">
                  <c:v>1985/86</c:v>
                </c:pt>
                <c:pt idx="19">
                  <c:v>1986/87</c:v>
                </c:pt>
                <c:pt idx="20">
                  <c:v>1987/88</c:v>
                </c:pt>
                <c:pt idx="21">
                  <c:v>1988/89</c:v>
                </c:pt>
                <c:pt idx="22">
                  <c:v>1989/90</c:v>
                </c:pt>
                <c:pt idx="23">
                  <c:v>1990/91</c:v>
                </c:pt>
                <c:pt idx="24">
                  <c:v>1991/92</c:v>
                </c:pt>
                <c:pt idx="25">
                  <c:v>1992/93</c:v>
                </c:pt>
                <c:pt idx="26">
                  <c:v>1993/94</c:v>
                </c:pt>
                <c:pt idx="27">
                  <c:v>1994/95</c:v>
                </c:pt>
                <c:pt idx="28">
                  <c:v>1995/96</c:v>
                </c:pt>
                <c:pt idx="29">
                  <c:v>1996/97</c:v>
                </c:pt>
                <c:pt idx="30">
                  <c:v>1997/98</c:v>
                </c:pt>
                <c:pt idx="31">
                  <c:v>1998/99</c:v>
                </c:pt>
                <c:pt idx="32">
                  <c:v>1999/0</c:v>
                </c:pt>
                <c:pt idx="33">
                  <c:v>2000/1</c:v>
                </c:pt>
                <c:pt idx="34">
                  <c:v>2001/2</c:v>
                </c:pt>
                <c:pt idx="35">
                  <c:v>2002/3</c:v>
                </c:pt>
                <c:pt idx="36">
                  <c:v>2003/4</c:v>
                </c:pt>
                <c:pt idx="37">
                  <c:v>2004/5</c:v>
                </c:pt>
                <c:pt idx="38">
                  <c:v>2005/6</c:v>
                </c:pt>
                <c:pt idx="39">
                  <c:v>2006/7</c:v>
                </c:pt>
                <c:pt idx="40">
                  <c:v>2007/8</c:v>
                </c:pt>
                <c:pt idx="41">
                  <c:v>2008/9</c:v>
                </c:pt>
                <c:pt idx="42">
                  <c:v>2009/10</c:v>
                </c:pt>
                <c:pt idx="43">
                  <c:v>2010/11</c:v>
                </c:pt>
                <c:pt idx="44">
                  <c:v>2011/12</c:v>
                </c:pt>
                <c:pt idx="45">
                  <c:v>2012/13</c:v>
                </c:pt>
                <c:pt idx="46">
                  <c:v>2013/14</c:v>
                </c:pt>
                <c:pt idx="47">
                  <c:v>2014/15</c:v>
                </c:pt>
                <c:pt idx="48">
                  <c:v>2015/16</c:v>
                </c:pt>
                <c:pt idx="49">
                  <c:v>2016/17</c:v>
                </c:pt>
                <c:pt idx="50">
                  <c:v>2017/18</c:v>
                </c:pt>
                <c:pt idx="51">
                  <c:v>2018/19</c:v>
                </c:pt>
              </c:strCache>
            </c:strRef>
          </c:cat>
          <c:val>
            <c:numRef>
              <c:f>Graph!$B$6:$B$63</c:f>
              <c:numCache>
                <c:formatCode>0</c:formatCode>
                <c:ptCount val="58"/>
                <c:pt idx="0" formatCode="0.00">
                  <c:v>165.4</c:v>
                </c:pt>
                <c:pt idx="1">
                  <c:v>0</c:v>
                </c:pt>
                <c:pt idx="2" formatCode="0.00">
                  <c:v>841.3</c:v>
                </c:pt>
                <c:pt idx="3" formatCode="0.00">
                  <c:v>0.2</c:v>
                </c:pt>
                <c:pt idx="4" formatCode="0.00">
                  <c:v>308.8</c:v>
                </c:pt>
                <c:pt idx="5" formatCode="0.00">
                  <c:v>168.7</c:v>
                </c:pt>
                <c:pt idx="6" formatCode="0.00">
                  <c:v>455.9</c:v>
                </c:pt>
                <c:pt idx="7" formatCode="0.00">
                  <c:v>20.58</c:v>
                </c:pt>
                <c:pt idx="8" formatCode="0.00">
                  <c:v>205.6</c:v>
                </c:pt>
                <c:pt idx="9" formatCode="0.00">
                  <c:v>122</c:v>
                </c:pt>
                <c:pt idx="10" formatCode="0.00">
                  <c:v>98.66</c:v>
                </c:pt>
                <c:pt idx="11" formatCode="0.00">
                  <c:v>184.7</c:v>
                </c:pt>
                <c:pt idx="12" formatCode="0.00">
                  <c:v>218.7</c:v>
                </c:pt>
                <c:pt idx="13" formatCode="0.00">
                  <c:v>396.6</c:v>
                </c:pt>
                <c:pt idx="14" formatCode="0.00">
                  <c:v>133.9</c:v>
                </c:pt>
                <c:pt idx="15" formatCode="0.00">
                  <c:v>133.9</c:v>
                </c:pt>
                <c:pt idx="16" formatCode="0.00">
                  <c:v>267.3</c:v>
                </c:pt>
                <c:pt idx="17" formatCode="0.00">
                  <c:v>71.48</c:v>
                </c:pt>
                <c:pt idx="18" formatCode="0.00">
                  <c:v>73.03</c:v>
                </c:pt>
                <c:pt idx="19" formatCode="0.00">
                  <c:v>8.86</c:v>
                </c:pt>
                <c:pt idx="20" formatCode="0.00">
                  <c:v>73.03</c:v>
                </c:pt>
                <c:pt idx="21" formatCode="0.00">
                  <c:v>1.8</c:v>
                </c:pt>
                <c:pt idx="22" formatCode="0.00">
                  <c:v>0.49</c:v>
                </c:pt>
                <c:pt idx="23" formatCode="0.00">
                  <c:v>58.13</c:v>
                </c:pt>
                <c:pt idx="24" formatCode="0.00">
                  <c:v>123.5</c:v>
                </c:pt>
                <c:pt idx="25" formatCode="0.00">
                  <c:v>151.19999999999999</c:v>
                </c:pt>
                <c:pt idx="26" formatCode="0.00">
                  <c:v>29.07</c:v>
                </c:pt>
                <c:pt idx="27" formatCode="0.00">
                  <c:v>138.69999999999999</c:v>
                </c:pt>
                <c:pt idx="28" formatCode="0.00">
                  <c:v>175.9</c:v>
                </c:pt>
                <c:pt idx="29" formatCode="0.00">
                  <c:v>121.3</c:v>
                </c:pt>
                <c:pt idx="30" formatCode="0.00">
                  <c:v>13.23</c:v>
                </c:pt>
                <c:pt idx="31" formatCode="0.00">
                  <c:v>16.239999999999998</c:v>
                </c:pt>
                <c:pt idx="32" formatCode="0.00">
                  <c:v>92.57</c:v>
                </c:pt>
                <c:pt idx="33" formatCode="0.00">
                  <c:v>111.7</c:v>
                </c:pt>
                <c:pt idx="34" formatCode="0.00">
                  <c:v>52.54</c:v>
                </c:pt>
                <c:pt idx="35" formatCode="0.00">
                  <c:v>16.239999999999998</c:v>
                </c:pt>
                <c:pt idx="36" formatCode="0.00">
                  <c:v>230.1</c:v>
                </c:pt>
                <c:pt idx="37" formatCode="0.00">
                  <c:v>3.35</c:v>
                </c:pt>
                <c:pt idx="38" formatCode="0.00">
                  <c:v>22.8</c:v>
                </c:pt>
                <c:pt idx="39" formatCode="0.00">
                  <c:v>150.19999999999999</c:v>
                </c:pt>
                <c:pt idx="40" formatCode="0.00">
                  <c:v>159.4</c:v>
                </c:pt>
                <c:pt idx="41" formatCode="0.00">
                  <c:v>117.8</c:v>
                </c:pt>
                <c:pt idx="42" formatCode="0.00">
                  <c:v>113.3</c:v>
                </c:pt>
                <c:pt idx="43" formatCode="0.00">
                  <c:v>56.71</c:v>
                </c:pt>
                <c:pt idx="44">
                  <c:v>0</c:v>
                </c:pt>
                <c:pt idx="45" formatCode="0.00">
                  <c:v>299.7</c:v>
                </c:pt>
                <c:pt idx="46" formatCode="0.00">
                  <c:v>135.4</c:v>
                </c:pt>
                <c:pt idx="47" formatCode="0.00">
                  <c:v>81.599999999999994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 formatCode="0.00">
                  <c:v>212.2</c:v>
                </c:pt>
                <c:pt idx="52" formatCode="0.00">
                  <c:v>45.34</c:v>
                </c:pt>
                <c:pt idx="53" formatCode="0.00">
                  <c:v>18.760000000000002</c:v>
                </c:pt>
                <c:pt idx="54" formatCode="0.00">
                  <c:v>0.12</c:v>
                </c:pt>
                <c:pt idx="55">
                  <c:v>0</c:v>
                </c:pt>
                <c:pt idx="56" formatCode="0.00">
                  <c:v>8.11</c:v>
                </c:pt>
                <c:pt idx="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2-4E60-A60E-26EE87EB9686}"/>
            </c:ext>
          </c:extLst>
        </c:ser>
        <c:ser>
          <c:idx val="1"/>
          <c:order val="1"/>
          <c:tx>
            <c:v>Annual Total (105 m3)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Graph!$C$6:$C$63</c:f>
              <c:numCache>
                <c:formatCode>0</c:formatCode>
                <c:ptCount val="58"/>
                <c:pt idx="0" formatCode="0.00">
                  <c:v>9.9</c:v>
                </c:pt>
                <c:pt idx="1">
                  <c:v>0</c:v>
                </c:pt>
                <c:pt idx="2" formatCode="0.00">
                  <c:v>106.44</c:v>
                </c:pt>
                <c:pt idx="3">
                  <c:v>0</c:v>
                </c:pt>
                <c:pt idx="4" formatCode="0.00">
                  <c:v>24.02</c:v>
                </c:pt>
                <c:pt idx="5" formatCode="0.00">
                  <c:v>33.380000000000003</c:v>
                </c:pt>
                <c:pt idx="6" formatCode="0.00">
                  <c:v>183.4</c:v>
                </c:pt>
                <c:pt idx="7" formatCode="0.00">
                  <c:v>35.5</c:v>
                </c:pt>
                <c:pt idx="8" formatCode="0.00">
                  <c:v>315.59999999999997</c:v>
                </c:pt>
                <c:pt idx="9" formatCode="0.00">
                  <c:v>229.60000000000002</c:v>
                </c:pt>
                <c:pt idx="10" formatCode="0.00">
                  <c:v>347.29999999999995</c:v>
                </c:pt>
                <c:pt idx="11" formatCode="0.00">
                  <c:v>72</c:v>
                </c:pt>
                <c:pt idx="12" formatCode="0.00">
                  <c:v>149.5</c:v>
                </c:pt>
                <c:pt idx="13" formatCode="0.00">
                  <c:v>607.4</c:v>
                </c:pt>
                <c:pt idx="14" formatCode="0.00">
                  <c:v>99.1</c:v>
                </c:pt>
                <c:pt idx="15" formatCode="0.00">
                  <c:v>373.6</c:v>
                </c:pt>
                <c:pt idx="16" formatCode="0.00">
                  <c:v>87.699999999999989</c:v>
                </c:pt>
                <c:pt idx="17" formatCode="0.00">
                  <c:v>70.400000000000006</c:v>
                </c:pt>
                <c:pt idx="18" formatCode="0.00">
                  <c:v>43.7</c:v>
                </c:pt>
                <c:pt idx="19" formatCode="0.00">
                  <c:v>2</c:v>
                </c:pt>
                <c:pt idx="20" formatCode="0.00">
                  <c:v>15.9</c:v>
                </c:pt>
                <c:pt idx="21" formatCode="0.00">
                  <c:v>0.8</c:v>
                </c:pt>
                <c:pt idx="22" formatCode="0.00">
                  <c:v>0.3</c:v>
                </c:pt>
                <c:pt idx="23" formatCode="0.00">
                  <c:v>26.6</c:v>
                </c:pt>
                <c:pt idx="24" formatCode="0.00">
                  <c:v>273.2</c:v>
                </c:pt>
                <c:pt idx="25" formatCode="0.00">
                  <c:v>108.6</c:v>
                </c:pt>
                <c:pt idx="26" formatCode="0.00">
                  <c:v>41.5</c:v>
                </c:pt>
                <c:pt idx="27" formatCode="0.00">
                  <c:v>151.4</c:v>
                </c:pt>
                <c:pt idx="28" formatCode="0.00">
                  <c:v>94.2</c:v>
                </c:pt>
                <c:pt idx="29" formatCode="0.00">
                  <c:v>126.1</c:v>
                </c:pt>
                <c:pt idx="30" formatCode="0.00">
                  <c:v>15.4</c:v>
                </c:pt>
                <c:pt idx="31" formatCode="0.00">
                  <c:v>3.5999999999999996</c:v>
                </c:pt>
                <c:pt idx="32" formatCode="0.00">
                  <c:v>92.100000000000009</c:v>
                </c:pt>
                <c:pt idx="33" formatCode="0.00">
                  <c:v>29.700000000000003</c:v>
                </c:pt>
                <c:pt idx="34" formatCode="0.00">
                  <c:v>46.3</c:v>
                </c:pt>
                <c:pt idx="35" formatCode="0.00">
                  <c:v>12.3</c:v>
                </c:pt>
                <c:pt idx="36" formatCode="0.00">
                  <c:v>811.2</c:v>
                </c:pt>
                <c:pt idx="37" formatCode="0.00">
                  <c:v>1.7999999999999998</c:v>
                </c:pt>
                <c:pt idx="38" formatCode="0.00">
                  <c:v>3.2</c:v>
                </c:pt>
                <c:pt idx="39" formatCode="0.00">
                  <c:v>75.599999999999994</c:v>
                </c:pt>
                <c:pt idx="40" formatCode="0.00">
                  <c:v>82.2</c:v>
                </c:pt>
                <c:pt idx="41" formatCode="0.00">
                  <c:v>43.7</c:v>
                </c:pt>
                <c:pt idx="42" formatCode="0.00">
                  <c:v>61.3</c:v>
                </c:pt>
                <c:pt idx="43" formatCode="0.00">
                  <c:v>72.5</c:v>
                </c:pt>
                <c:pt idx="44">
                  <c:v>0</c:v>
                </c:pt>
                <c:pt idx="45" formatCode="0.00">
                  <c:v>350.3</c:v>
                </c:pt>
                <c:pt idx="46" formatCode="0.00">
                  <c:v>14.5</c:v>
                </c:pt>
                <c:pt idx="47" formatCode="0.00">
                  <c:v>89.7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 formatCode="0.00">
                  <c:v>172.89999999999998</c:v>
                </c:pt>
                <c:pt idx="52" formatCode="0.00">
                  <c:v>6.3</c:v>
                </c:pt>
                <c:pt idx="53" formatCode="0.00">
                  <c:v>5.0999999999999996</c:v>
                </c:pt>
                <c:pt idx="54" formatCode="0.00">
                  <c:v>0</c:v>
                </c:pt>
                <c:pt idx="55">
                  <c:v>0</c:v>
                </c:pt>
                <c:pt idx="56" formatCode="0.00">
                  <c:v>3.5999999999999996</c:v>
                </c:pt>
                <c:pt idx="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62-4E60-A60E-26EE87EB9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25557871"/>
        <c:axId val="625557039"/>
      </c:barChart>
      <c:catAx>
        <c:axId val="62555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57039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62555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18</xdr:col>
      <xdr:colOff>495300</xdr:colOff>
      <xdr:row>25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0612_Vingerklip%20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ngerklip"/>
      <sheetName val="Graph"/>
    </sheetNames>
    <sheetDataSet>
      <sheetData sheetId="0"/>
      <sheetData sheetId="1">
        <row r="6">
          <cell r="A6" t="str">
            <v>1967/68</v>
          </cell>
        </row>
        <row r="7">
          <cell r="A7" t="str">
            <v>1968/69</v>
          </cell>
        </row>
        <row r="8">
          <cell r="A8" t="str">
            <v>1969/70</v>
          </cell>
        </row>
        <row r="9">
          <cell r="A9" t="str">
            <v>1970/71</v>
          </cell>
        </row>
        <row r="10">
          <cell r="A10" t="str">
            <v>1971/72</v>
          </cell>
        </row>
        <row r="11">
          <cell r="A11" t="str">
            <v>1972/73</v>
          </cell>
        </row>
        <row r="12">
          <cell r="A12" t="str">
            <v>1973/74</v>
          </cell>
        </row>
        <row r="13">
          <cell r="A13" t="str">
            <v>1974/75</v>
          </cell>
        </row>
        <row r="14">
          <cell r="A14" t="str">
            <v>1975/76</v>
          </cell>
        </row>
        <row r="15">
          <cell r="A15" t="str">
            <v>1976/77</v>
          </cell>
        </row>
        <row r="16">
          <cell r="A16" t="str">
            <v>1977/78</v>
          </cell>
        </row>
        <row r="17">
          <cell r="A17" t="str">
            <v>1978/79</v>
          </cell>
        </row>
        <row r="18">
          <cell r="A18" t="str">
            <v>1979/80</v>
          </cell>
        </row>
        <row r="19">
          <cell r="A19" t="str">
            <v>1980/81</v>
          </cell>
        </row>
        <row r="20">
          <cell r="A20" t="str">
            <v>1981/82</v>
          </cell>
        </row>
        <row r="21">
          <cell r="A21" t="str">
            <v>1982/83</v>
          </cell>
        </row>
        <row r="22">
          <cell r="A22" t="str">
            <v>1983/84</v>
          </cell>
        </row>
        <row r="23">
          <cell r="A23" t="str">
            <v>1984/85</v>
          </cell>
        </row>
        <row r="24">
          <cell r="A24" t="str">
            <v>1985/86</v>
          </cell>
        </row>
        <row r="25">
          <cell r="A25" t="str">
            <v>1986/87</v>
          </cell>
        </row>
        <row r="26">
          <cell r="A26" t="str">
            <v>1987/88</v>
          </cell>
        </row>
        <row r="27">
          <cell r="A27" t="str">
            <v>1988/89</v>
          </cell>
        </row>
        <row r="28">
          <cell r="A28" t="str">
            <v>1989/90</v>
          </cell>
        </row>
        <row r="29">
          <cell r="A29" t="str">
            <v>1990/91</v>
          </cell>
        </row>
        <row r="30">
          <cell r="A30" t="str">
            <v>1991/92</v>
          </cell>
        </row>
        <row r="31">
          <cell r="A31" t="str">
            <v>1992/93</v>
          </cell>
        </row>
        <row r="32">
          <cell r="A32" t="str">
            <v>1993/94</v>
          </cell>
        </row>
        <row r="33">
          <cell r="A33" t="str">
            <v>1994/95</v>
          </cell>
        </row>
        <row r="34">
          <cell r="A34" t="str">
            <v>1995/96</v>
          </cell>
        </row>
        <row r="35">
          <cell r="A35" t="str">
            <v>1996/97</v>
          </cell>
        </row>
        <row r="36">
          <cell r="A36" t="str">
            <v>1997/98</v>
          </cell>
        </row>
        <row r="37">
          <cell r="A37" t="str">
            <v>1998/99</v>
          </cell>
        </row>
        <row r="38">
          <cell r="A38" t="str">
            <v>1999/0</v>
          </cell>
        </row>
        <row r="39">
          <cell r="A39" t="str">
            <v>2000/1</v>
          </cell>
        </row>
        <row r="40">
          <cell r="A40" t="str">
            <v>2001/2</v>
          </cell>
        </row>
        <row r="41">
          <cell r="A41" t="str">
            <v>2002/3</v>
          </cell>
        </row>
        <row r="42">
          <cell r="A42" t="str">
            <v>2003/4</v>
          </cell>
        </row>
        <row r="43">
          <cell r="A43" t="str">
            <v>2004/5</v>
          </cell>
        </row>
        <row r="44">
          <cell r="A44" t="str">
            <v>2005/6</v>
          </cell>
        </row>
        <row r="45">
          <cell r="A45" t="str">
            <v>2006/7</v>
          </cell>
        </row>
        <row r="46">
          <cell r="A46" t="str">
            <v>2007/8</v>
          </cell>
        </row>
        <row r="47">
          <cell r="A47" t="str">
            <v>2008/9</v>
          </cell>
        </row>
        <row r="48">
          <cell r="A48" t="str">
            <v>2009/10</v>
          </cell>
        </row>
        <row r="49">
          <cell r="A49" t="str">
            <v>2010/11</v>
          </cell>
        </row>
        <row r="50">
          <cell r="A50" t="str">
            <v>2011/12</v>
          </cell>
        </row>
        <row r="51">
          <cell r="A51" t="str">
            <v>2012/13</v>
          </cell>
        </row>
        <row r="52">
          <cell r="A52" t="str">
            <v>2013/14</v>
          </cell>
        </row>
        <row r="53">
          <cell r="A53" t="str">
            <v>2014/15</v>
          </cell>
        </row>
        <row r="54">
          <cell r="A54" t="str">
            <v>2015/16</v>
          </cell>
        </row>
        <row r="55">
          <cell r="A55" t="str">
            <v>2016/17</v>
          </cell>
        </row>
        <row r="56">
          <cell r="A56" t="str">
            <v>2017/18</v>
          </cell>
        </row>
        <row r="57">
          <cell r="A57" t="str">
            <v>2018/19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workbookViewId="0">
      <pane ySplit="5" topLeftCell="A6" activePane="bottomLeft" state="frozen"/>
      <selection pane="bottomLeft" activeCell="D63" sqref="D63"/>
    </sheetView>
  </sheetViews>
  <sheetFormatPr defaultRowHeight="15" x14ac:dyDescent="0.25"/>
  <cols>
    <col min="1" max="1" width="7.85546875" bestFit="1" customWidth="1"/>
    <col min="2" max="2" width="9" bestFit="1" customWidth="1"/>
    <col min="3" max="3" width="5.5703125" customWidth="1"/>
    <col min="4" max="4" width="7.5703125" bestFit="1" customWidth="1"/>
    <col min="5" max="5" width="5.5703125" customWidth="1"/>
    <col min="6" max="6" width="8.5703125" bestFit="1" customWidth="1"/>
    <col min="7" max="7" width="5.140625" bestFit="1" customWidth="1"/>
    <col min="8" max="8" width="8" bestFit="1" customWidth="1"/>
    <col min="9" max="9" width="3.85546875" customWidth="1"/>
    <col min="10" max="10" width="7.85546875" bestFit="1" customWidth="1"/>
    <col min="32" max="32" width="8.140625" customWidth="1"/>
  </cols>
  <sheetData>
    <row r="1" spans="1:12" s="1" customFormat="1" x14ac:dyDescent="0.25">
      <c r="A1" s="15" t="s">
        <v>116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s="1" customFormat="1" x14ac:dyDescent="0.25">
      <c r="A2" s="15" t="s">
        <v>94</v>
      </c>
      <c r="B2" s="15"/>
      <c r="C2" s="15"/>
      <c r="D2" s="15"/>
      <c r="E2" s="15"/>
      <c r="F2" s="15"/>
      <c r="G2" s="15"/>
      <c r="H2" s="15"/>
      <c r="I2" s="15"/>
      <c r="J2" s="15"/>
    </row>
    <row r="3" spans="1:12" s="1" customFormat="1" x14ac:dyDescent="0.25">
      <c r="A3" s="15" t="s">
        <v>95</v>
      </c>
      <c r="B3" s="15"/>
      <c r="C3" s="15"/>
      <c r="D3" s="15"/>
      <c r="E3" s="15"/>
      <c r="F3" s="15"/>
      <c r="G3" s="15"/>
      <c r="H3" s="15"/>
      <c r="I3" s="15"/>
      <c r="J3" s="15"/>
    </row>
    <row r="4" spans="1:12" x14ac:dyDescent="0.25">
      <c r="A4" s="15" t="s">
        <v>0</v>
      </c>
      <c r="B4" s="15"/>
      <c r="C4" s="15"/>
      <c r="D4" s="15"/>
      <c r="E4" s="15"/>
      <c r="F4" s="15"/>
      <c r="G4" s="15"/>
      <c r="H4" s="15"/>
      <c r="I4" s="15"/>
      <c r="J4" s="15"/>
      <c r="K4" s="1"/>
    </row>
    <row r="5" spans="1:12" ht="47.25" x14ac:dyDescent="0.25">
      <c r="A5" s="3" t="s">
        <v>1</v>
      </c>
      <c r="B5" s="7" t="s">
        <v>96</v>
      </c>
      <c r="C5" s="7" t="s">
        <v>92</v>
      </c>
      <c r="D5" s="8" t="s">
        <v>104</v>
      </c>
      <c r="E5" s="7" t="s">
        <v>92</v>
      </c>
      <c r="F5" s="2" t="s">
        <v>91</v>
      </c>
      <c r="G5" s="2" t="s">
        <v>92</v>
      </c>
      <c r="H5" s="2" t="s">
        <v>93</v>
      </c>
      <c r="I5" s="3"/>
      <c r="J5" s="2" t="s">
        <v>2</v>
      </c>
    </row>
    <row r="6" spans="1:12" x14ac:dyDescent="0.25">
      <c r="A6" s="4" t="s">
        <v>3</v>
      </c>
      <c r="B6" s="6" t="s">
        <v>103</v>
      </c>
      <c r="C6" s="6"/>
      <c r="D6" s="6" t="s">
        <v>105</v>
      </c>
      <c r="E6" s="6"/>
      <c r="F6" s="6" t="s">
        <v>4</v>
      </c>
      <c r="G6" s="6"/>
      <c r="H6" s="6" t="s">
        <v>5</v>
      </c>
      <c r="I6" s="6"/>
      <c r="J6" s="9">
        <v>123</v>
      </c>
      <c r="K6" s="4"/>
      <c r="L6" s="4"/>
    </row>
    <row r="7" spans="1:12" x14ac:dyDescent="0.25">
      <c r="A7" s="4" t="s">
        <v>6</v>
      </c>
      <c r="B7" s="6" t="s">
        <v>7</v>
      </c>
      <c r="C7" s="6"/>
      <c r="D7" s="10" t="s">
        <v>7</v>
      </c>
      <c r="E7" s="6"/>
      <c r="F7" s="6" t="s">
        <v>7</v>
      </c>
      <c r="G7" s="6"/>
      <c r="H7" s="6" t="s">
        <v>7</v>
      </c>
      <c r="I7" s="6"/>
      <c r="J7" s="9">
        <v>28</v>
      </c>
      <c r="K7" s="4"/>
      <c r="L7" s="4"/>
    </row>
    <row r="8" spans="1:12" x14ac:dyDescent="0.25">
      <c r="A8" s="4" t="s">
        <v>8</v>
      </c>
      <c r="B8" s="6">
        <v>3.32</v>
      </c>
      <c r="C8" s="6"/>
      <c r="D8" s="6">
        <v>841.3</v>
      </c>
      <c r="E8" s="6"/>
      <c r="F8" s="6">
        <v>8.8699999999999992</v>
      </c>
      <c r="G8" s="6"/>
      <c r="H8" s="6">
        <v>106.44</v>
      </c>
      <c r="I8" s="6"/>
      <c r="J8" s="9">
        <v>0</v>
      </c>
      <c r="K8" s="4"/>
      <c r="L8" s="4"/>
    </row>
    <row r="9" spans="1:12" x14ac:dyDescent="0.25">
      <c r="A9" s="4" t="s">
        <v>9</v>
      </c>
      <c r="B9" s="6" t="s">
        <v>7</v>
      </c>
      <c r="C9" s="6"/>
      <c r="D9" s="6" t="s">
        <v>106</v>
      </c>
      <c r="E9" s="6"/>
      <c r="F9" s="6" t="s">
        <v>7</v>
      </c>
      <c r="G9" s="6"/>
      <c r="H9" s="6" t="s">
        <v>7</v>
      </c>
      <c r="I9" s="6"/>
      <c r="J9" s="9">
        <v>1</v>
      </c>
      <c r="K9" s="4"/>
      <c r="L9" s="4"/>
    </row>
    <row r="10" spans="1:12" x14ac:dyDescent="0.25">
      <c r="A10" s="4" t="s">
        <v>10</v>
      </c>
      <c r="B10" s="6">
        <v>0.78</v>
      </c>
      <c r="C10" s="6"/>
      <c r="D10" s="6">
        <v>308.8</v>
      </c>
      <c r="E10" s="6"/>
      <c r="F10" s="6">
        <v>2</v>
      </c>
      <c r="G10" s="6"/>
      <c r="H10" s="6">
        <v>24.02</v>
      </c>
      <c r="I10" s="6"/>
      <c r="J10" s="9">
        <v>0</v>
      </c>
      <c r="K10" s="4"/>
      <c r="L10" s="4"/>
    </row>
    <row r="11" spans="1:12" x14ac:dyDescent="0.25">
      <c r="A11" s="4" t="s">
        <v>11</v>
      </c>
      <c r="B11" s="6">
        <v>1.08</v>
      </c>
      <c r="C11" s="6"/>
      <c r="D11" s="6">
        <v>168.7</v>
      </c>
      <c r="E11" s="6"/>
      <c r="F11" s="6">
        <v>2.78</v>
      </c>
      <c r="G11" s="6"/>
      <c r="H11" s="6">
        <v>33.380000000000003</v>
      </c>
      <c r="I11" s="6"/>
      <c r="J11" s="9">
        <v>0</v>
      </c>
      <c r="K11" s="4"/>
      <c r="L11" s="4"/>
    </row>
    <row r="12" spans="1:12" x14ac:dyDescent="0.25">
      <c r="A12" s="4" t="s">
        <v>12</v>
      </c>
      <c r="B12" s="6">
        <v>0.6</v>
      </c>
      <c r="C12" s="6"/>
      <c r="D12" s="6">
        <v>455.9</v>
      </c>
      <c r="E12" s="6"/>
      <c r="F12" s="6">
        <v>1.53</v>
      </c>
      <c r="G12" s="6"/>
      <c r="H12" s="6">
        <v>18.34</v>
      </c>
      <c r="I12" s="6"/>
      <c r="J12" s="9">
        <v>0</v>
      </c>
      <c r="K12" s="4"/>
      <c r="L12" s="4"/>
    </row>
    <row r="13" spans="1:12" x14ac:dyDescent="0.25">
      <c r="A13" s="4" t="s">
        <v>13</v>
      </c>
      <c r="B13" s="6">
        <v>0.11</v>
      </c>
      <c r="C13" s="6"/>
      <c r="D13" s="6">
        <v>20.58</v>
      </c>
      <c r="E13" s="6"/>
      <c r="F13" s="6">
        <v>0.3</v>
      </c>
      <c r="G13" s="6"/>
      <c r="H13" s="6">
        <v>3.55</v>
      </c>
      <c r="I13" s="6"/>
      <c r="J13" s="9">
        <v>0</v>
      </c>
      <c r="K13" s="4"/>
      <c r="L13" s="4"/>
    </row>
    <row r="14" spans="1:12" x14ac:dyDescent="0.25">
      <c r="A14" s="4" t="s">
        <v>14</v>
      </c>
      <c r="B14" s="6" t="s">
        <v>102</v>
      </c>
      <c r="C14" s="6"/>
      <c r="D14" s="6" t="s">
        <v>107</v>
      </c>
      <c r="E14" s="6"/>
      <c r="F14" s="6" t="s">
        <v>16</v>
      </c>
      <c r="G14" s="6"/>
      <c r="H14" s="6" t="s">
        <v>17</v>
      </c>
      <c r="I14" s="6"/>
      <c r="J14" s="9">
        <v>39</v>
      </c>
      <c r="K14" s="4"/>
      <c r="L14" s="4"/>
    </row>
    <row r="15" spans="1:12" x14ac:dyDescent="0.25">
      <c r="A15" s="4" t="s">
        <v>18</v>
      </c>
      <c r="B15" s="6">
        <v>0.76</v>
      </c>
      <c r="C15" s="6" t="s">
        <v>15</v>
      </c>
      <c r="D15" s="6">
        <v>122</v>
      </c>
      <c r="E15" s="6" t="s">
        <v>15</v>
      </c>
      <c r="F15" s="6">
        <v>1.91</v>
      </c>
      <c r="G15" s="6" t="s">
        <v>15</v>
      </c>
      <c r="H15" s="6">
        <v>22.96</v>
      </c>
      <c r="I15" s="6" t="s">
        <v>15</v>
      </c>
      <c r="J15" s="9">
        <v>0</v>
      </c>
      <c r="K15" s="4"/>
      <c r="L15" s="4"/>
    </row>
    <row r="16" spans="1:12" x14ac:dyDescent="0.25">
      <c r="A16" s="4" t="s">
        <v>19</v>
      </c>
      <c r="B16" s="6">
        <v>1.17</v>
      </c>
      <c r="C16" s="6"/>
      <c r="D16" s="6">
        <v>98.66</v>
      </c>
      <c r="E16" s="6"/>
      <c r="F16" s="6">
        <v>2.89</v>
      </c>
      <c r="G16" s="6"/>
      <c r="H16" s="6">
        <v>34.729999999999997</v>
      </c>
      <c r="I16" s="6"/>
      <c r="J16" s="9">
        <v>0</v>
      </c>
      <c r="K16" s="4"/>
      <c r="L16" s="4"/>
    </row>
    <row r="17" spans="1:12" x14ac:dyDescent="0.25">
      <c r="A17" s="4" t="s">
        <v>20</v>
      </c>
      <c r="B17" s="6" t="s">
        <v>101</v>
      </c>
      <c r="C17" s="6"/>
      <c r="D17" s="6" t="s">
        <v>108</v>
      </c>
      <c r="E17" s="6"/>
      <c r="F17" s="6" t="s">
        <v>21</v>
      </c>
      <c r="G17" s="6"/>
      <c r="H17" s="6" t="s">
        <v>22</v>
      </c>
      <c r="I17" s="6"/>
      <c r="J17" s="9">
        <v>76</v>
      </c>
      <c r="K17" s="4"/>
      <c r="L17" s="4"/>
    </row>
    <row r="18" spans="1:12" x14ac:dyDescent="0.25">
      <c r="A18" s="4" t="s">
        <v>23</v>
      </c>
      <c r="B18" s="6">
        <v>0.47</v>
      </c>
      <c r="C18" s="6"/>
      <c r="D18" s="6">
        <v>218.7</v>
      </c>
      <c r="E18" s="6"/>
      <c r="F18" s="6">
        <v>1.25</v>
      </c>
      <c r="G18" s="6"/>
      <c r="H18" s="6">
        <v>14.95</v>
      </c>
      <c r="I18" s="6"/>
      <c r="J18" s="9">
        <v>0</v>
      </c>
      <c r="K18" s="4"/>
      <c r="L18" s="4"/>
    </row>
    <row r="19" spans="1:12" x14ac:dyDescent="0.25">
      <c r="A19" s="4" t="s">
        <v>24</v>
      </c>
      <c r="B19" s="6">
        <v>1.99</v>
      </c>
      <c r="C19" s="6"/>
      <c r="D19" s="6">
        <v>396.6</v>
      </c>
      <c r="E19" s="6"/>
      <c r="F19" s="6">
        <v>5.0599999999999996</v>
      </c>
      <c r="G19" s="6"/>
      <c r="H19" s="6">
        <v>60.74</v>
      </c>
      <c r="I19" s="6"/>
      <c r="J19" s="9">
        <v>0</v>
      </c>
      <c r="K19" s="4"/>
      <c r="L19" s="4"/>
    </row>
    <row r="20" spans="1:12" x14ac:dyDescent="0.25">
      <c r="A20" s="4" t="s">
        <v>25</v>
      </c>
      <c r="B20" s="6">
        <v>0.31</v>
      </c>
      <c r="C20" s="6" t="s">
        <v>15</v>
      </c>
      <c r="D20" s="6">
        <v>133.9</v>
      </c>
      <c r="E20" s="6" t="s">
        <v>15</v>
      </c>
      <c r="F20" s="6">
        <v>0.83</v>
      </c>
      <c r="G20" s="6" t="s">
        <v>15</v>
      </c>
      <c r="H20" s="6">
        <v>9.91</v>
      </c>
      <c r="I20" s="6" t="s">
        <v>15</v>
      </c>
      <c r="J20" s="9">
        <v>0</v>
      </c>
      <c r="K20" s="4"/>
      <c r="L20" s="4"/>
    </row>
    <row r="21" spans="1:12" x14ac:dyDescent="0.25">
      <c r="A21" s="4" t="s">
        <v>26</v>
      </c>
      <c r="B21" s="6">
        <v>1.19</v>
      </c>
      <c r="C21" s="6" t="s">
        <v>15</v>
      </c>
      <c r="D21" s="6">
        <v>133.9</v>
      </c>
      <c r="E21" s="6" t="s">
        <v>15</v>
      </c>
      <c r="F21" s="6">
        <v>3.11</v>
      </c>
      <c r="G21" s="6" t="s">
        <v>15</v>
      </c>
      <c r="H21" s="6">
        <v>37.36</v>
      </c>
      <c r="I21" s="6" t="s">
        <v>15</v>
      </c>
      <c r="J21" s="9">
        <v>0</v>
      </c>
      <c r="K21" s="4"/>
      <c r="L21" s="4"/>
    </row>
    <row r="22" spans="1:12" x14ac:dyDescent="0.25">
      <c r="A22" s="4" t="s">
        <v>27</v>
      </c>
      <c r="B22" s="6">
        <v>0.28000000000000003</v>
      </c>
      <c r="C22" s="6"/>
      <c r="D22" s="6">
        <v>267.3</v>
      </c>
      <c r="E22" s="6"/>
      <c r="F22" s="6">
        <v>0.73</v>
      </c>
      <c r="G22" s="6"/>
      <c r="H22" s="6">
        <v>8.77</v>
      </c>
      <c r="I22" s="6"/>
      <c r="J22" s="9">
        <v>0</v>
      </c>
      <c r="K22" s="4"/>
      <c r="L22" s="4"/>
    </row>
    <row r="23" spans="1:12" x14ac:dyDescent="0.25">
      <c r="A23" s="4" t="s">
        <v>28</v>
      </c>
      <c r="B23" s="6">
        <v>0.23</v>
      </c>
      <c r="C23" s="6" t="s">
        <v>15</v>
      </c>
      <c r="D23" s="6">
        <v>71.48</v>
      </c>
      <c r="E23" s="6" t="s">
        <v>15</v>
      </c>
      <c r="F23" s="6">
        <v>0.59</v>
      </c>
      <c r="G23" s="6" t="s">
        <v>15</v>
      </c>
      <c r="H23" s="6">
        <v>7.04</v>
      </c>
      <c r="I23" s="6" t="s">
        <v>15</v>
      </c>
      <c r="J23" s="9">
        <v>0</v>
      </c>
      <c r="K23" s="4"/>
      <c r="L23" s="4"/>
    </row>
    <row r="24" spans="1:12" x14ac:dyDescent="0.25">
      <c r="A24" s="4" t="s">
        <v>29</v>
      </c>
      <c r="B24" s="6">
        <v>0.14000000000000001</v>
      </c>
      <c r="C24" s="6"/>
      <c r="D24" s="6">
        <v>73.03</v>
      </c>
      <c r="E24" s="6"/>
      <c r="F24" s="6">
        <v>0.36</v>
      </c>
      <c r="G24" s="6"/>
      <c r="H24" s="6">
        <v>4.37</v>
      </c>
      <c r="I24" s="6"/>
      <c r="J24" s="9">
        <v>0</v>
      </c>
      <c r="K24" s="4"/>
      <c r="L24" s="4"/>
    </row>
    <row r="25" spans="1:12" x14ac:dyDescent="0.25">
      <c r="A25" s="4" t="s">
        <v>30</v>
      </c>
      <c r="B25" s="6">
        <v>0.01</v>
      </c>
      <c r="C25" s="6"/>
      <c r="D25" s="6">
        <v>8.86</v>
      </c>
      <c r="E25" s="6"/>
      <c r="F25" s="6">
        <v>0.02</v>
      </c>
      <c r="G25" s="6"/>
      <c r="H25" s="6">
        <v>0.2</v>
      </c>
      <c r="I25" s="6"/>
      <c r="J25" s="9">
        <v>0</v>
      </c>
      <c r="K25" s="4"/>
      <c r="L25" s="4"/>
    </row>
    <row r="26" spans="1:12" x14ac:dyDescent="0.25">
      <c r="A26" s="4" t="s">
        <v>31</v>
      </c>
      <c r="B26" s="6">
        <v>0.05</v>
      </c>
      <c r="C26" s="6" t="s">
        <v>15</v>
      </c>
      <c r="D26" s="6">
        <v>73.03</v>
      </c>
      <c r="E26" s="6" t="s">
        <v>15</v>
      </c>
      <c r="F26" s="6">
        <v>0.13</v>
      </c>
      <c r="G26" s="6" t="s">
        <v>15</v>
      </c>
      <c r="H26" s="6">
        <v>1.59</v>
      </c>
      <c r="I26" s="6" t="s">
        <v>15</v>
      </c>
      <c r="J26" s="9">
        <v>0</v>
      </c>
      <c r="K26" s="4"/>
      <c r="L26" s="4"/>
    </row>
    <row r="27" spans="1:12" x14ac:dyDescent="0.25">
      <c r="A27" s="4" t="s">
        <v>32</v>
      </c>
      <c r="B27" s="6">
        <v>0</v>
      </c>
      <c r="C27" s="6" t="s">
        <v>15</v>
      </c>
      <c r="D27" s="6">
        <v>1.8</v>
      </c>
      <c r="E27" s="6" t="s">
        <v>15</v>
      </c>
      <c r="F27" s="6">
        <v>0.01</v>
      </c>
      <c r="G27" s="6" t="s">
        <v>15</v>
      </c>
      <c r="H27" s="6">
        <v>0.08</v>
      </c>
      <c r="I27" s="6" t="s">
        <v>15</v>
      </c>
      <c r="J27" s="9">
        <v>0</v>
      </c>
      <c r="K27" s="4"/>
      <c r="L27" s="4"/>
    </row>
    <row r="28" spans="1:12" x14ac:dyDescent="0.25">
      <c r="A28" s="4" t="s">
        <v>33</v>
      </c>
      <c r="B28" s="6">
        <v>0</v>
      </c>
      <c r="C28" s="6"/>
      <c r="D28" s="6">
        <v>0.49</v>
      </c>
      <c r="E28" s="6"/>
      <c r="F28" s="6">
        <v>0</v>
      </c>
      <c r="G28" s="6"/>
      <c r="H28" s="6">
        <v>0.03</v>
      </c>
      <c r="I28" s="6"/>
      <c r="J28" s="9">
        <v>0</v>
      </c>
      <c r="K28" s="4"/>
      <c r="L28" s="4"/>
    </row>
    <row r="29" spans="1:12" x14ac:dyDescent="0.25">
      <c r="A29" s="4" t="s">
        <v>34</v>
      </c>
      <c r="B29" s="6">
        <v>0.08</v>
      </c>
      <c r="C29" s="6" t="s">
        <v>15</v>
      </c>
      <c r="D29" s="6">
        <v>58.13</v>
      </c>
      <c r="E29" s="6" t="s">
        <v>15</v>
      </c>
      <c r="F29" s="6">
        <v>0.22</v>
      </c>
      <c r="G29" s="6" t="s">
        <v>15</v>
      </c>
      <c r="H29" s="6">
        <v>2.66</v>
      </c>
      <c r="I29" s="6" t="s">
        <v>15</v>
      </c>
      <c r="J29" s="9">
        <v>0</v>
      </c>
      <c r="K29" s="4"/>
      <c r="L29" s="4"/>
    </row>
    <row r="30" spans="1:12" x14ac:dyDescent="0.25">
      <c r="A30" s="4" t="s">
        <v>35</v>
      </c>
      <c r="B30" s="6">
        <v>0.93</v>
      </c>
      <c r="C30" s="6"/>
      <c r="D30" s="6">
        <v>123.5</v>
      </c>
      <c r="E30" s="6"/>
      <c r="F30" s="6">
        <v>2.2799999999999998</v>
      </c>
      <c r="G30" s="6"/>
      <c r="H30" s="6">
        <v>27.32</v>
      </c>
      <c r="I30" s="6"/>
      <c r="J30" s="9">
        <v>0</v>
      </c>
      <c r="K30" s="4"/>
      <c r="L30" s="4"/>
    </row>
    <row r="31" spans="1:12" x14ac:dyDescent="0.25">
      <c r="A31" s="4" t="s">
        <v>36</v>
      </c>
      <c r="B31" s="6" t="s">
        <v>87</v>
      </c>
      <c r="C31" s="6"/>
      <c r="D31" s="6" t="s">
        <v>109</v>
      </c>
      <c r="E31" s="6"/>
      <c r="F31" s="6" t="s">
        <v>37</v>
      </c>
      <c r="G31" s="6"/>
      <c r="H31" s="6" t="s">
        <v>38</v>
      </c>
      <c r="I31" s="6"/>
      <c r="J31" s="9">
        <v>18</v>
      </c>
      <c r="K31" s="4"/>
      <c r="L31" s="4"/>
    </row>
    <row r="32" spans="1:12" x14ac:dyDescent="0.25">
      <c r="A32" s="4" t="s">
        <v>39</v>
      </c>
      <c r="B32" s="6">
        <v>0.14000000000000001</v>
      </c>
      <c r="C32" s="6"/>
      <c r="D32" s="6">
        <v>29.07</v>
      </c>
      <c r="E32" s="6"/>
      <c r="F32" s="6">
        <v>0.35</v>
      </c>
      <c r="G32" s="6"/>
      <c r="H32" s="6">
        <v>4.1500000000000004</v>
      </c>
      <c r="I32" s="6"/>
      <c r="J32" s="9">
        <v>0</v>
      </c>
      <c r="K32" s="4"/>
      <c r="L32" s="4"/>
    </row>
    <row r="33" spans="1:12" x14ac:dyDescent="0.25">
      <c r="A33" s="4" t="s">
        <v>40</v>
      </c>
      <c r="B33" s="6">
        <v>0.48</v>
      </c>
      <c r="C33" s="6" t="s">
        <v>15</v>
      </c>
      <c r="D33" s="6">
        <v>138.69999999999999</v>
      </c>
      <c r="E33" s="6" t="s">
        <v>15</v>
      </c>
      <c r="F33" s="6">
        <v>1.26</v>
      </c>
      <c r="G33" s="6" t="s">
        <v>15</v>
      </c>
      <c r="H33" s="6">
        <v>15.14</v>
      </c>
      <c r="I33" s="6" t="s">
        <v>15</v>
      </c>
      <c r="J33" s="9">
        <v>0</v>
      </c>
      <c r="K33" s="4"/>
      <c r="L33" s="4"/>
    </row>
    <row r="34" spans="1:12" x14ac:dyDescent="0.25">
      <c r="A34" s="4" t="s">
        <v>41</v>
      </c>
      <c r="B34" s="6">
        <v>0.32</v>
      </c>
      <c r="C34" s="6" t="s">
        <v>15</v>
      </c>
      <c r="D34" s="6">
        <v>175.9</v>
      </c>
      <c r="E34" s="6" t="s">
        <v>15</v>
      </c>
      <c r="F34" s="6">
        <v>0.79</v>
      </c>
      <c r="G34" s="6" t="s">
        <v>15</v>
      </c>
      <c r="H34" s="6">
        <v>9.42</v>
      </c>
      <c r="I34" s="6" t="s">
        <v>15</v>
      </c>
      <c r="J34" s="9">
        <v>0</v>
      </c>
      <c r="K34" s="4"/>
      <c r="L34" s="4"/>
    </row>
    <row r="35" spans="1:12" x14ac:dyDescent="0.25">
      <c r="A35" s="4" t="s">
        <v>42</v>
      </c>
      <c r="B35" s="6" t="s">
        <v>100</v>
      </c>
      <c r="C35" s="6"/>
      <c r="D35" s="6" t="s">
        <v>110</v>
      </c>
      <c r="E35" s="6"/>
      <c r="F35" s="6" t="s">
        <v>43</v>
      </c>
      <c r="G35" s="6"/>
      <c r="H35" s="6" t="s">
        <v>44</v>
      </c>
      <c r="I35" s="6"/>
      <c r="J35" s="9">
        <v>18</v>
      </c>
      <c r="K35" s="4"/>
      <c r="L35" s="4"/>
    </row>
    <row r="36" spans="1:12" x14ac:dyDescent="0.25">
      <c r="A36" s="4" t="s">
        <v>45</v>
      </c>
      <c r="B36" s="6">
        <v>0.05</v>
      </c>
      <c r="C36" s="6"/>
      <c r="D36" s="6">
        <v>13.23</v>
      </c>
      <c r="E36" s="6"/>
      <c r="F36" s="6">
        <v>0.13</v>
      </c>
      <c r="G36" s="6"/>
      <c r="H36" s="6">
        <v>1.54</v>
      </c>
      <c r="I36" s="6"/>
      <c r="J36" s="9">
        <v>0</v>
      </c>
      <c r="K36" s="4"/>
      <c r="L36" s="4"/>
    </row>
    <row r="37" spans="1:12" x14ac:dyDescent="0.25">
      <c r="A37" s="4" t="s">
        <v>46</v>
      </c>
      <c r="B37" s="6">
        <v>0.01</v>
      </c>
      <c r="C37" s="6" t="s">
        <v>15</v>
      </c>
      <c r="D37" s="6">
        <v>16.239999999999998</v>
      </c>
      <c r="E37" s="6" t="s">
        <v>15</v>
      </c>
      <c r="F37" s="6">
        <v>0.03</v>
      </c>
      <c r="G37" s="6" t="s">
        <v>15</v>
      </c>
      <c r="H37" s="6">
        <v>0.36</v>
      </c>
      <c r="I37" s="6" t="s">
        <v>15</v>
      </c>
      <c r="J37" s="9">
        <v>0</v>
      </c>
      <c r="K37" s="4"/>
      <c r="L37" s="4"/>
    </row>
    <row r="38" spans="1:12" x14ac:dyDescent="0.25">
      <c r="A38" s="4" t="s">
        <v>47</v>
      </c>
      <c r="B38" s="6">
        <v>0.31</v>
      </c>
      <c r="C38" s="6" t="s">
        <v>15</v>
      </c>
      <c r="D38" s="6">
        <v>92.57</v>
      </c>
      <c r="E38" s="6" t="s">
        <v>15</v>
      </c>
      <c r="F38" s="6">
        <v>0.77</v>
      </c>
      <c r="G38" s="6" t="s">
        <v>15</v>
      </c>
      <c r="H38" s="6">
        <v>9.2100000000000009</v>
      </c>
      <c r="I38" s="6" t="s">
        <v>15</v>
      </c>
      <c r="J38" s="9">
        <v>0</v>
      </c>
      <c r="K38" s="4"/>
      <c r="L38" s="4"/>
    </row>
    <row r="39" spans="1:12" x14ac:dyDescent="0.25">
      <c r="A39" s="4" t="s">
        <v>48</v>
      </c>
      <c r="B39" s="6">
        <v>0.1</v>
      </c>
      <c r="C39" s="6" t="s">
        <v>15</v>
      </c>
      <c r="D39" s="6">
        <v>111.7</v>
      </c>
      <c r="E39" s="6" t="s">
        <v>15</v>
      </c>
      <c r="F39" s="6">
        <v>0.25</v>
      </c>
      <c r="G39" s="6" t="s">
        <v>15</v>
      </c>
      <c r="H39" s="6">
        <v>2.97</v>
      </c>
      <c r="I39" s="6" t="s">
        <v>15</v>
      </c>
      <c r="J39" s="9">
        <v>0</v>
      </c>
      <c r="K39" s="4"/>
      <c r="L39" s="4"/>
    </row>
    <row r="40" spans="1:12" x14ac:dyDescent="0.25">
      <c r="A40" s="4" t="s">
        <v>49</v>
      </c>
      <c r="B40" s="6">
        <v>0.15</v>
      </c>
      <c r="C40" s="6" t="s">
        <v>15</v>
      </c>
      <c r="D40" s="6">
        <v>52.54</v>
      </c>
      <c r="E40" s="6" t="s">
        <v>15</v>
      </c>
      <c r="F40" s="6">
        <v>0.39</v>
      </c>
      <c r="G40" s="6" t="s">
        <v>15</v>
      </c>
      <c r="H40" s="6">
        <v>4.63</v>
      </c>
      <c r="I40" s="6" t="s">
        <v>15</v>
      </c>
      <c r="J40" s="9">
        <v>0</v>
      </c>
      <c r="K40" s="4"/>
      <c r="L40" s="4"/>
    </row>
    <row r="41" spans="1:12" x14ac:dyDescent="0.25">
      <c r="A41" s="4" t="s">
        <v>57</v>
      </c>
      <c r="B41" s="6" t="s">
        <v>90</v>
      </c>
      <c r="C41" s="6"/>
      <c r="D41" s="6" t="s">
        <v>111</v>
      </c>
      <c r="E41" s="6"/>
      <c r="F41" s="6" t="s">
        <v>58</v>
      </c>
      <c r="G41" s="6"/>
      <c r="H41" s="6" t="s">
        <v>59</v>
      </c>
      <c r="I41" s="6"/>
      <c r="J41" s="9">
        <v>5</v>
      </c>
      <c r="K41" s="4"/>
      <c r="L41" s="4"/>
    </row>
    <row r="42" spans="1:12" x14ac:dyDescent="0.25">
      <c r="A42" s="4" t="s">
        <v>60</v>
      </c>
      <c r="B42" s="6">
        <v>2.62</v>
      </c>
      <c r="C42" s="6" t="s">
        <v>15</v>
      </c>
      <c r="D42" s="6">
        <v>230.1</v>
      </c>
      <c r="E42" s="6" t="s">
        <v>15</v>
      </c>
      <c r="F42" s="6">
        <v>6.76</v>
      </c>
      <c r="G42" s="6" t="s">
        <v>15</v>
      </c>
      <c r="H42" s="6">
        <v>81.12</v>
      </c>
      <c r="I42" s="6" t="s">
        <v>15</v>
      </c>
      <c r="J42" s="9">
        <v>0</v>
      </c>
      <c r="K42" s="4"/>
      <c r="L42" s="4"/>
    </row>
    <row r="43" spans="1:12" x14ac:dyDescent="0.25">
      <c r="A43" s="4" t="s">
        <v>61</v>
      </c>
      <c r="B43" s="6" t="s">
        <v>89</v>
      </c>
      <c r="C43" s="6"/>
      <c r="D43" s="6" t="s">
        <v>112</v>
      </c>
      <c r="E43" s="6"/>
      <c r="F43" s="6" t="s">
        <v>63</v>
      </c>
      <c r="G43" s="6"/>
      <c r="H43" s="6" t="s">
        <v>62</v>
      </c>
      <c r="I43" s="6"/>
      <c r="J43" s="9">
        <v>33</v>
      </c>
      <c r="K43" s="4"/>
      <c r="L43" s="4"/>
    </row>
    <row r="44" spans="1:12" x14ac:dyDescent="0.25">
      <c r="A44" s="4" t="s">
        <v>64</v>
      </c>
      <c r="B44" s="6">
        <v>0.01</v>
      </c>
      <c r="C44" s="6" t="s">
        <v>15</v>
      </c>
      <c r="D44" s="6">
        <v>22.8</v>
      </c>
      <c r="E44" s="6" t="s">
        <v>15</v>
      </c>
      <c r="F44" s="6">
        <v>0.03</v>
      </c>
      <c r="G44" s="6" t="s">
        <v>15</v>
      </c>
      <c r="H44" s="6">
        <v>0.32</v>
      </c>
      <c r="I44" s="6" t="s">
        <v>15</v>
      </c>
      <c r="J44" s="9">
        <v>0</v>
      </c>
      <c r="K44" s="4"/>
      <c r="L44" s="4"/>
    </row>
    <row r="45" spans="1:12" x14ac:dyDescent="0.25">
      <c r="A45" s="4" t="s">
        <v>65</v>
      </c>
      <c r="B45" s="6" t="s">
        <v>99</v>
      </c>
      <c r="C45" s="6"/>
      <c r="D45" s="6" t="s">
        <v>113</v>
      </c>
      <c r="E45" s="6"/>
      <c r="F45" s="6" t="s">
        <v>66</v>
      </c>
      <c r="G45" s="6"/>
      <c r="H45" s="6" t="s">
        <v>67</v>
      </c>
      <c r="I45" s="6"/>
      <c r="J45" s="9">
        <v>1</v>
      </c>
      <c r="K45" s="4"/>
      <c r="L45" s="4"/>
    </row>
    <row r="46" spans="1:12" x14ac:dyDescent="0.25">
      <c r="A46" s="4" t="s">
        <v>68</v>
      </c>
      <c r="B46" s="6">
        <v>0.26</v>
      </c>
      <c r="C46" s="6" t="s">
        <v>15</v>
      </c>
      <c r="D46" s="6">
        <v>159.4</v>
      </c>
      <c r="E46" s="6" t="s">
        <v>15</v>
      </c>
      <c r="F46" s="6">
        <v>0.68</v>
      </c>
      <c r="G46" s="6" t="s">
        <v>15</v>
      </c>
      <c r="H46" s="6">
        <v>8.2200000000000006</v>
      </c>
      <c r="I46" s="6" t="s">
        <v>15</v>
      </c>
      <c r="J46" s="9">
        <v>0</v>
      </c>
      <c r="K46" s="4"/>
      <c r="L46" s="4"/>
    </row>
    <row r="47" spans="1:12" x14ac:dyDescent="0.25">
      <c r="A47" s="4" t="s">
        <v>69</v>
      </c>
      <c r="B47" s="6">
        <v>0.14000000000000001</v>
      </c>
      <c r="C47" s="6" t="s">
        <v>15</v>
      </c>
      <c r="D47" s="6">
        <v>117.8</v>
      </c>
      <c r="E47" s="6" t="s">
        <v>15</v>
      </c>
      <c r="F47" s="6">
        <v>0.36</v>
      </c>
      <c r="G47" s="6" t="s">
        <v>15</v>
      </c>
      <c r="H47" s="6">
        <v>4.37</v>
      </c>
      <c r="I47" s="6" t="s">
        <v>15</v>
      </c>
      <c r="J47" s="9">
        <v>0</v>
      </c>
      <c r="K47" s="4"/>
      <c r="L47" s="4"/>
    </row>
    <row r="48" spans="1:12" x14ac:dyDescent="0.25">
      <c r="A48" s="4" t="s">
        <v>70</v>
      </c>
      <c r="B48" s="6">
        <v>0.2</v>
      </c>
      <c r="C48" s="6" t="s">
        <v>15</v>
      </c>
      <c r="D48" s="6">
        <v>113.3</v>
      </c>
      <c r="E48" s="6" t="s">
        <v>15</v>
      </c>
      <c r="F48" s="6">
        <v>0.51</v>
      </c>
      <c r="G48" s="6" t="s">
        <v>15</v>
      </c>
      <c r="H48" s="6">
        <v>6.13</v>
      </c>
      <c r="I48" s="6" t="s">
        <v>15</v>
      </c>
      <c r="J48" s="9">
        <v>0</v>
      </c>
      <c r="K48" s="4"/>
      <c r="L48" s="4"/>
    </row>
    <row r="49" spans="1:12" x14ac:dyDescent="0.25">
      <c r="A49" s="4" t="s">
        <v>71</v>
      </c>
      <c r="B49" s="6" t="s">
        <v>98</v>
      </c>
      <c r="C49" s="6"/>
      <c r="D49" s="6" t="s">
        <v>114</v>
      </c>
      <c r="E49" s="6"/>
      <c r="F49" s="6" t="s">
        <v>72</v>
      </c>
      <c r="G49" s="6"/>
      <c r="H49" s="6" t="s">
        <v>73</v>
      </c>
      <c r="I49" s="6"/>
      <c r="J49" s="9">
        <v>7</v>
      </c>
      <c r="K49" s="4"/>
      <c r="L49" s="4"/>
    </row>
    <row r="50" spans="1:12" x14ac:dyDescent="0.25">
      <c r="A50" s="4" t="s">
        <v>74</v>
      </c>
      <c r="B50" s="6" t="s">
        <v>7</v>
      </c>
      <c r="C50" s="6"/>
      <c r="D50" s="10" t="s">
        <v>7</v>
      </c>
      <c r="E50" s="6"/>
      <c r="F50" s="6" t="s">
        <v>7</v>
      </c>
      <c r="G50" s="6"/>
      <c r="H50" s="6" t="s">
        <v>7</v>
      </c>
      <c r="I50" s="6"/>
      <c r="J50" s="9">
        <v>74</v>
      </c>
      <c r="K50" s="4"/>
      <c r="L50" s="4"/>
    </row>
    <row r="51" spans="1:12" x14ac:dyDescent="0.25">
      <c r="A51" s="4" t="s">
        <v>75</v>
      </c>
      <c r="B51" s="6">
        <v>1.1599999999999999</v>
      </c>
      <c r="C51" s="6"/>
      <c r="D51" s="6">
        <v>299.7</v>
      </c>
      <c r="E51" s="6"/>
      <c r="F51" s="6">
        <v>2.92</v>
      </c>
      <c r="G51" s="6"/>
      <c r="H51" s="6">
        <v>35.03</v>
      </c>
      <c r="I51" s="6"/>
      <c r="J51" s="9">
        <v>0</v>
      </c>
      <c r="K51" s="4"/>
      <c r="L51" s="4"/>
    </row>
    <row r="52" spans="1:12" x14ac:dyDescent="0.25">
      <c r="A52" s="4" t="s">
        <v>76</v>
      </c>
      <c r="B52" s="6">
        <v>0.05</v>
      </c>
      <c r="C52" s="6"/>
      <c r="D52" s="6">
        <v>135.4</v>
      </c>
      <c r="E52" s="6"/>
      <c r="F52" s="6">
        <v>0.12</v>
      </c>
      <c r="G52" s="6"/>
      <c r="H52" s="6">
        <v>1.45</v>
      </c>
      <c r="I52" s="6"/>
      <c r="J52" s="9">
        <v>0</v>
      </c>
      <c r="K52" s="4"/>
      <c r="L52" s="4"/>
    </row>
    <row r="53" spans="1:12" x14ac:dyDescent="0.25">
      <c r="A53" s="4" t="s">
        <v>77</v>
      </c>
      <c r="B53" s="6">
        <v>0.28999999999999998</v>
      </c>
      <c r="C53" s="6"/>
      <c r="D53" s="6">
        <v>81.599999999999994</v>
      </c>
      <c r="E53" s="6"/>
      <c r="F53" s="6">
        <v>0.75</v>
      </c>
      <c r="G53" s="6"/>
      <c r="H53" s="6">
        <v>8.9700000000000006</v>
      </c>
      <c r="I53" s="6"/>
      <c r="J53" s="9">
        <v>0</v>
      </c>
      <c r="K53" s="4"/>
      <c r="L53" s="4"/>
    </row>
    <row r="54" spans="1:12" x14ac:dyDescent="0.25">
      <c r="A54" s="4" t="s">
        <v>78</v>
      </c>
      <c r="B54" s="6">
        <v>0</v>
      </c>
      <c r="C54" s="6"/>
      <c r="D54" s="10">
        <v>0</v>
      </c>
      <c r="E54" s="6"/>
      <c r="F54" s="6">
        <v>0</v>
      </c>
      <c r="G54" s="6"/>
      <c r="H54" s="6">
        <v>0</v>
      </c>
      <c r="I54" s="6"/>
      <c r="J54" s="9">
        <v>0</v>
      </c>
      <c r="K54" s="4"/>
      <c r="L54" s="4"/>
    </row>
    <row r="55" spans="1:12" x14ac:dyDescent="0.25">
      <c r="A55" s="4" t="s">
        <v>79</v>
      </c>
      <c r="B55" s="6">
        <v>0</v>
      </c>
      <c r="C55" s="6"/>
      <c r="D55" s="10">
        <v>0</v>
      </c>
      <c r="E55" s="6"/>
      <c r="F55" s="6">
        <v>0</v>
      </c>
      <c r="G55" s="6"/>
      <c r="H55" s="6">
        <v>0</v>
      </c>
      <c r="I55" s="6"/>
      <c r="J55" s="9">
        <v>0</v>
      </c>
      <c r="K55" s="4"/>
      <c r="L55" s="4"/>
    </row>
    <row r="56" spans="1:12" x14ac:dyDescent="0.25">
      <c r="A56" s="4" t="s">
        <v>80</v>
      </c>
      <c r="B56" s="6" t="s">
        <v>7</v>
      </c>
      <c r="C56" s="6"/>
      <c r="D56" s="10" t="s">
        <v>7</v>
      </c>
      <c r="E56" s="6"/>
      <c r="F56" s="6" t="s">
        <v>7</v>
      </c>
      <c r="G56" s="6"/>
      <c r="H56" s="6" t="s">
        <v>7</v>
      </c>
      <c r="I56" s="6"/>
      <c r="J56" s="9">
        <v>11</v>
      </c>
      <c r="K56" s="4"/>
      <c r="L56" s="4"/>
    </row>
    <row r="57" spans="1:12" x14ac:dyDescent="0.25">
      <c r="A57" s="4" t="s">
        <v>81</v>
      </c>
      <c r="B57" s="6">
        <v>0.54</v>
      </c>
      <c r="C57" s="6"/>
      <c r="D57" s="6">
        <v>212.2</v>
      </c>
      <c r="E57" s="6"/>
      <c r="F57" s="6">
        <v>1.44</v>
      </c>
      <c r="G57" s="6"/>
      <c r="H57" s="6">
        <v>17.29</v>
      </c>
      <c r="I57" s="6"/>
      <c r="J57" s="9">
        <v>0</v>
      </c>
      <c r="K57" s="4"/>
      <c r="L57" s="4"/>
    </row>
    <row r="58" spans="1:12" x14ac:dyDescent="0.25">
      <c r="A58" s="4" t="s">
        <v>82</v>
      </c>
      <c r="B58" s="6">
        <v>0.02</v>
      </c>
      <c r="C58" s="6"/>
      <c r="D58" s="6">
        <v>45.34</v>
      </c>
      <c r="E58" s="6"/>
      <c r="F58" s="6">
        <v>0.05</v>
      </c>
      <c r="G58" s="6"/>
      <c r="H58" s="6">
        <v>0.63</v>
      </c>
      <c r="I58" s="6"/>
      <c r="J58" s="9">
        <v>0</v>
      </c>
      <c r="K58" s="4"/>
      <c r="L58" s="4"/>
    </row>
    <row r="59" spans="1:12" x14ac:dyDescent="0.25">
      <c r="A59" s="4" t="s">
        <v>83</v>
      </c>
      <c r="B59" s="6">
        <v>0.02</v>
      </c>
      <c r="C59" s="6"/>
      <c r="D59" s="6">
        <v>18.760000000000002</v>
      </c>
      <c r="E59" s="6"/>
      <c r="F59" s="6">
        <v>0.04</v>
      </c>
      <c r="G59" s="6"/>
      <c r="H59" s="6">
        <v>0.51</v>
      </c>
      <c r="I59" s="6"/>
      <c r="J59" s="9">
        <v>0</v>
      </c>
      <c r="K59" s="4"/>
      <c r="L59" s="4"/>
    </row>
    <row r="60" spans="1:12" x14ac:dyDescent="0.25">
      <c r="A60" s="4" t="s">
        <v>84</v>
      </c>
      <c r="B60" s="6">
        <v>0</v>
      </c>
      <c r="C60" s="6"/>
      <c r="D60" s="6">
        <v>0.12</v>
      </c>
      <c r="E60" s="6"/>
      <c r="F60" s="6">
        <v>0</v>
      </c>
      <c r="G60" s="6"/>
      <c r="H60" s="6">
        <v>0</v>
      </c>
      <c r="I60" s="6"/>
      <c r="J60" s="9">
        <v>0</v>
      </c>
      <c r="K60" s="4"/>
      <c r="L60" s="4"/>
    </row>
    <row r="61" spans="1:12" x14ac:dyDescent="0.25">
      <c r="A61" s="4" t="s">
        <v>85</v>
      </c>
      <c r="B61" s="6" t="s">
        <v>7</v>
      </c>
      <c r="C61" s="6"/>
      <c r="D61" s="10" t="s">
        <v>7</v>
      </c>
      <c r="E61" s="6"/>
      <c r="F61" s="6" t="s">
        <v>7</v>
      </c>
      <c r="G61" s="6"/>
      <c r="H61" s="6" t="s">
        <v>7</v>
      </c>
      <c r="I61" s="6"/>
      <c r="J61" s="9">
        <v>31</v>
      </c>
      <c r="K61" s="4"/>
      <c r="L61" s="4"/>
    </row>
    <row r="62" spans="1:12" x14ac:dyDescent="0.25">
      <c r="A62" s="4" t="s">
        <v>86</v>
      </c>
      <c r="B62" s="6" t="s">
        <v>97</v>
      </c>
      <c r="C62" s="6"/>
      <c r="D62" s="6" t="s">
        <v>115</v>
      </c>
      <c r="E62" s="6"/>
      <c r="F62" s="6" t="s">
        <v>87</v>
      </c>
      <c r="G62" s="6"/>
      <c r="H62" s="6" t="s">
        <v>87</v>
      </c>
      <c r="I62" s="6"/>
      <c r="J62" s="9">
        <v>363</v>
      </c>
      <c r="K62" s="4"/>
      <c r="L62" s="4"/>
    </row>
    <row r="63" spans="1:12" x14ac:dyDescent="0.25">
      <c r="A63" s="4" t="s">
        <v>88</v>
      </c>
      <c r="B63" s="6" t="s">
        <v>7</v>
      </c>
      <c r="C63" s="6"/>
      <c r="D63" s="10" t="s">
        <v>7</v>
      </c>
      <c r="E63" s="6"/>
      <c r="F63" s="6" t="s">
        <v>7</v>
      </c>
      <c r="G63" s="6"/>
      <c r="H63" s="6" t="s">
        <v>7</v>
      </c>
      <c r="I63" s="6"/>
      <c r="J63" s="9">
        <v>88</v>
      </c>
      <c r="K63" s="4"/>
      <c r="L63" s="4"/>
    </row>
    <row r="64" spans="1:12" x14ac:dyDescent="0.25">
      <c r="C64" s="5" t="s">
        <v>50</v>
      </c>
    </row>
    <row r="65" spans="3:3" x14ac:dyDescent="0.25">
      <c r="C65" t="s">
        <v>51</v>
      </c>
    </row>
    <row r="66" spans="3:3" x14ac:dyDescent="0.25">
      <c r="C66" t="s">
        <v>52</v>
      </c>
    </row>
    <row r="67" spans="3:3" x14ac:dyDescent="0.25">
      <c r="C67" t="s">
        <v>53</v>
      </c>
    </row>
    <row r="68" spans="3:3" x14ac:dyDescent="0.25">
      <c r="C68" t="s">
        <v>54</v>
      </c>
    </row>
    <row r="69" spans="3:3" x14ac:dyDescent="0.25">
      <c r="C69" t="s">
        <v>55</v>
      </c>
    </row>
    <row r="70" spans="3:3" x14ac:dyDescent="0.25">
      <c r="C70" t="s">
        <v>56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"/>
  <sheetViews>
    <sheetView tabSelected="1" workbookViewId="0">
      <pane ySplit="5" topLeftCell="A6" activePane="bottomLeft" state="frozen"/>
      <selection pane="bottomLeft" activeCell="W15" sqref="W15"/>
    </sheetView>
  </sheetViews>
  <sheetFormatPr defaultRowHeight="15" x14ac:dyDescent="0.25"/>
  <cols>
    <col min="1" max="1" width="7.85546875" bestFit="1" customWidth="1"/>
    <col min="2" max="2" width="7.5703125" bestFit="1" customWidth="1"/>
    <col min="3" max="3" width="8" bestFit="1" customWidth="1"/>
    <col min="6" max="6" width="12.28515625" customWidth="1"/>
    <col min="25" max="25" width="8.140625" customWidth="1"/>
  </cols>
  <sheetData>
    <row r="1" spans="1:7" s="1" customFormat="1" x14ac:dyDescent="0.25">
      <c r="A1" s="11" t="s">
        <v>116</v>
      </c>
      <c r="B1" s="11"/>
      <c r="C1" s="11"/>
    </row>
    <row r="2" spans="1:7" s="1" customFormat="1" x14ac:dyDescent="0.25">
      <c r="A2" s="11" t="s">
        <v>94</v>
      </c>
      <c r="B2" s="11"/>
      <c r="C2" s="11"/>
    </row>
    <row r="3" spans="1:7" s="1" customFormat="1" x14ac:dyDescent="0.25">
      <c r="A3" s="11" t="s">
        <v>95</v>
      </c>
      <c r="B3" s="11"/>
      <c r="C3" s="11"/>
      <c r="F3" s="1" t="s">
        <v>119</v>
      </c>
      <c r="G3" s="1" t="s">
        <v>118</v>
      </c>
    </row>
    <row r="4" spans="1:7" x14ac:dyDescent="0.25">
      <c r="A4" s="11" t="s">
        <v>0</v>
      </c>
      <c r="B4" s="11"/>
      <c r="C4" s="11"/>
      <c r="D4" s="1"/>
    </row>
    <row r="5" spans="1:7" ht="47.25" x14ac:dyDescent="0.25">
      <c r="A5" s="3" t="s">
        <v>1</v>
      </c>
      <c r="B5" s="8" t="s">
        <v>104</v>
      </c>
      <c r="C5" s="2" t="s">
        <v>117</v>
      </c>
      <c r="D5" s="2" t="s">
        <v>93</v>
      </c>
    </row>
    <row r="6" spans="1:7" x14ac:dyDescent="0.25">
      <c r="A6" s="4" t="s">
        <v>3</v>
      </c>
      <c r="B6" s="12">
        <v>165.4</v>
      </c>
      <c r="C6" s="13">
        <v>9.9</v>
      </c>
      <c r="D6" s="13">
        <v>9.9</v>
      </c>
      <c r="E6" s="4"/>
    </row>
    <row r="7" spans="1:7" x14ac:dyDescent="0.25">
      <c r="A7" s="4" t="s">
        <v>6</v>
      </c>
      <c r="B7" s="14">
        <v>0</v>
      </c>
      <c r="C7" s="14">
        <v>0</v>
      </c>
      <c r="D7" s="14">
        <v>0</v>
      </c>
      <c r="E7" s="4"/>
    </row>
    <row r="8" spans="1:7" x14ac:dyDescent="0.25">
      <c r="A8" s="4" t="s">
        <v>8</v>
      </c>
      <c r="B8" s="13">
        <v>841.3</v>
      </c>
      <c r="C8" s="13">
        <v>106.44</v>
      </c>
      <c r="D8" s="13">
        <v>106.44</v>
      </c>
      <c r="E8" s="4"/>
    </row>
    <row r="9" spans="1:7" x14ac:dyDescent="0.25">
      <c r="A9" s="4" t="s">
        <v>9</v>
      </c>
      <c r="B9" s="12">
        <v>0.2</v>
      </c>
      <c r="C9" s="14">
        <v>0</v>
      </c>
      <c r="D9" s="14">
        <v>0</v>
      </c>
      <c r="E9" s="4"/>
    </row>
    <row r="10" spans="1:7" x14ac:dyDescent="0.25">
      <c r="A10" s="4" t="s">
        <v>10</v>
      </c>
      <c r="B10" s="13">
        <v>308.8</v>
      </c>
      <c r="C10" s="13">
        <v>24.02</v>
      </c>
      <c r="D10" s="13">
        <v>24.02</v>
      </c>
      <c r="E10" s="4"/>
    </row>
    <row r="11" spans="1:7" x14ac:dyDescent="0.25">
      <c r="A11" s="4" t="s">
        <v>11</v>
      </c>
      <c r="B11" s="13">
        <v>168.7</v>
      </c>
      <c r="C11" s="13">
        <v>33.380000000000003</v>
      </c>
      <c r="D11" s="13">
        <v>33.380000000000003</v>
      </c>
      <c r="E11" s="4"/>
    </row>
    <row r="12" spans="1:7" x14ac:dyDescent="0.25">
      <c r="A12" s="4" t="s">
        <v>12</v>
      </c>
      <c r="B12" s="13">
        <v>455.9</v>
      </c>
      <c r="C12" s="13">
        <f>D12*10</f>
        <v>183.4</v>
      </c>
      <c r="D12" s="13">
        <v>18.34</v>
      </c>
      <c r="E12" s="4"/>
    </row>
    <row r="13" spans="1:7" x14ac:dyDescent="0.25">
      <c r="A13" s="4" t="s">
        <v>13</v>
      </c>
      <c r="B13" s="13">
        <v>20.58</v>
      </c>
      <c r="C13" s="13">
        <f t="shared" ref="C13:C63" si="0">D13*10</f>
        <v>35.5</v>
      </c>
      <c r="D13" s="13">
        <v>3.55</v>
      </c>
      <c r="E13" s="4"/>
    </row>
    <row r="14" spans="1:7" x14ac:dyDescent="0.25">
      <c r="A14" s="4" t="s">
        <v>14</v>
      </c>
      <c r="B14" s="12">
        <v>205.6</v>
      </c>
      <c r="C14" s="13">
        <f t="shared" si="0"/>
        <v>315.59999999999997</v>
      </c>
      <c r="D14" s="13">
        <v>31.56</v>
      </c>
      <c r="E14" s="4"/>
    </row>
    <row r="15" spans="1:7" x14ac:dyDescent="0.25">
      <c r="A15" s="4" t="s">
        <v>18</v>
      </c>
      <c r="B15" s="13">
        <v>122</v>
      </c>
      <c r="C15" s="13">
        <f t="shared" si="0"/>
        <v>229.60000000000002</v>
      </c>
      <c r="D15" s="13">
        <v>22.96</v>
      </c>
      <c r="E15" s="4"/>
    </row>
    <row r="16" spans="1:7" x14ac:dyDescent="0.25">
      <c r="A16" s="4" t="s">
        <v>19</v>
      </c>
      <c r="B16" s="13">
        <v>98.66</v>
      </c>
      <c r="C16" s="13">
        <f t="shared" si="0"/>
        <v>347.29999999999995</v>
      </c>
      <c r="D16" s="13">
        <v>34.729999999999997</v>
      </c>
      <c r="E16" s="4"/>
    </row>
    <row r="17" spans="1:5" x14ac:dyDescent="0.25">
      <c r="A17" s="4" t="s">
        <v>20</v>
      </c>
      <c r="B17" s="12">
        <v>184.7</v>
      </c>
      <c r="C17" s="13">
        <f t="shared" si="0"/>
        <v>72</v>
      </c>
      <c r="D17" s="13">
        <v>7.2</v>
      </c>
      <c r="E17" s="4"/>
    </row>
    <row r="18" spans="1:5" x14ac:dyDescent="0.25">
      <c r="A18" s="4" t="s">
        <v>23</v>
      </c>
      <c r="B18" s="13">
        <v>218.7</v>
      </c>
      <c r="C18" s="13">
        <f t="shared" si="0"/>
        <v>149.5</v>
      </c>
      <c r="D18" s="13">
        <v>14.95</v>
      </c>
      <c r="E18" s="4"/>
    </row>
    <row r="19" spans="1:5" x14ac:dyDescent="0.25">
      <c r="A19" s="4" t="s">
        <v>24</v>
      </c>
      <c r="B19" s="13">
        <v>396.6</v>
      </c>
      <c r="C19" s="13">
        <f t="shared" si="0"/>
        <v>607.4</v>
      </c>
      <c r="D19" s="13">
        <v>60.74</v>
      </c>
      <c r="E19" s="4"/>
    </row>
    <row r="20" spans="1:5" x14ac:dyDescent="0.25">
      <c r="A20" s="4" t="s">
        <v>25</v>
      </c>
      <c r="B20" s="13">
        <v>133.9</v>
      </c>
      <c r="C20" s="13">
        <f t="shared" si="0"/>
        <v>99.1</v>
      </c>
      <c r="D20" s="13">
        <v>9.91</v>
      </c>
      <c r="E20" s="4"/>
    </row>
    <row r="21" spans="1:5" x14ac:dyDescent="0.25">
      <c r="A21" s="4" t="s">
        <v>26</v>
      </c>
      <c r="B21" s="13">
        <v>133.9</v>
      </c>
      <c r="C21" s="13">
        <f t="shared" si="0"/>
        <v>373.6</v>
      </c>
      <c r="D21" s="13">
        <v>37.36</v>
      </c>
      <c r="E21" s="4"/>
    </row>
    <row r="22" spans="1:5" x14ac:dyDescent="0.25">
      <c r="A22" s="4" t="s">
        <v>27</v>
      </c>
      <c r="B22" s="13">
        <v>267.3</v>
      </c>
      <c r="C22" s="13">
        <f t="shared" si="0"/>
        <v>87.699999999999989</v>
      </c>
      <c r="D22" s="13">
        <v>8.77</v>
      </c>
      <c r="E22" s="4"/>
    </row>
    <row r="23" spans="1:5" x14ac:dyDescent="0.25">
      <c r="A23" s="4" t="s">
        <v>28</v>
      </c>
      <c r="B23" s="13">
        <v>71.48</v>
      </c>
      <c r="C23" s="13">
        <f t="shared" si="0"/>
        <v>70.400000000000006</v>
      </c>
      <c r="D23" s="13">
        <v>7.04</v>
      </c>
      <c r="E23" s="4"/>
    </row>
    <row r="24" spans="1:5" x14ac:dyDescent="0.25">
      <c r="A24" s="4" t="s">
        <v>29</v>
      </c>
      <c r="B24" s="13">
        <v>73.03</v>
      </c>
      <c r="C24" s="13">
        <f t="shared" si="0"/>
        <v>43.7</v>
      </c>
      <c r="D24" s="13">
        <v>4.37</v>
      </c>
      <c r="E24" s="4"/>
    </row>
    <row r="25" spans="1:5" x14ac:dyDescent="0.25">
      <c r="A25" s="4" t="s">
        <v>30</v>
      </c>
      <c r="B25" s="13">
        <v>8.86</v>
      </c>
      <c r="C25" s="13">
        <f t="shared" si="0"/>
        <v>2</v>
      </c>
      <c r="D25" s="13">
        <v>0.2</v>
      </c>
      <c r="E25" s="4"/>
    </row>
    <row r="26" spans="1:5" x14ac:dyDescent="0.25">
      <c r="A26" s="4" t="s">
        <v>31</v>
      </c>
      <c r="B26" s="13">
        <v>73.03</v>
      </c>
      <c r="C26" s="13">
        <f t="shared" si="0"/>
        <v>15.9</v>
      </c>
      <c r="D26" s="13">
        <v>1.59</v>
      </c>
      <c r="E26" s="4"/>
    </row>
    <row r="27" spans="1:5" x14ac:dyDescent="0.25">
      <c r="A27" s="4" t="s">
        <v>32</v>
      </c>
      <c r="B27" s="13">
        <v>1.8</v>
      </c>
      <c r="C27" s="13">
        <f t="shared" si="0"/>
        <v>0.8</v>
      </c>
      <c r="D27" s="13">
        <v>0.08</v>
      </c>
      <c r="E27" s="4"/>
    </row>
    <row r="28" spans="1:5" x14ac:dyDescent="0.25">
      <c r="A28" s="4" t="s">
        <v>33</v>
      </c>
      <c r="B28" s="13">
        <v>0.49</v>
      </c>
      <c r="C28" s="13">
        <f t="shared" si="0"/>
        <v>0.3</v>
      </c>
      <c r="D28" s="13">
        <v>0.03</v>
      </c>
      <c r="E28" s="4"/>
    </row>
    <row r="29" spans="1:5" x14ac:dyDescent="0.25">
      <c r="A29" s="4" t="s">
        <v>34</v>
      </c>
      <c r="B29" s="13">
        <v>58.13</v>
      </c>
      <c r="C29" s="13">
        <f t="shared" si="0"/>
        <v>26.6</v>
      </c>
      <c r="D29" s="13">
        <v>2.66</v>
      </c>
      <c r="E29" s="4"/>
    </row>
    <row r="30" spans="1:5" x14ac:dyDescent="0.25">
      <c r="A30" s="4" t="s">
        <v>35</v>
      </c>
      <c r="B30" s="13">
        <v>123.5</v>
      </c>
      <c r="C30" s="13">
        <f t="shared" si="0"/>
        <v>273.2</v>
      </c>
      <c r="D30" s="13">
        <v>27.32</v>
      </c>
      <c r="E30" s="4"/>
    </row>
    <row r="31" spans="1:5" x14ac:dyDescent="0.25">
      <c r="A31" s="4" t="s">
        <v>36</v>
      </c>
      <c r="B31" s="12">
        <v>151.19999999999999</v>
      </c>
      <c r="C31" s="13">
        <f t="shared" si="0"/>
        <v>108.6</v>
      </c>
      <c r="D31" s="13">
        <v>10.86</v>
      </c>
      <c r="E31" s="4"/>
    </row>
    <row r="32" spans="1:5" x14ac:dyDescent="0.25">
      <c r="A32" s="4" t="s">
        <v>39</v>
      </c>
      <c r="B32" s="13">
        <v>29.07</v>
      </c>
      <c r="C32" s="13">
        <f t="shared" si="0"/>
        <v>41.5</v>
      </c>
      <c r="D32" s="13">
        <v>4.1500000000000004</v>
      </c>
      <c r="E32" s="4"/>
    </row>
    <row r="33" spans="1:5" x14ac:dyDescent="0.25">
      <c r="A33" s="4" t="s">
        <v>40</v>
      </c>
      <c r="B33" s="13">
        <v>138.69999999999999</v>
      </c>
      <c r="C33" s="13">
        <f t="shared" si="0"/>
        <v>151.4</v>
      </c>
      <c r="D33" s="13">
        <v>15.14</v>
      </c>
      <c r="E33" s="4"/>
    </row>
    <row r="34" spans="1:5" x14ac:dyDescent="0.25">
      <c r="A34" s="4" t="s">
        <v>41</v>
      </c>
      <c r="B34" s="13">
        <v>175.9</v>
      </c>
      <c r="C34" s="13">
        <f t="shared" si="0"/>
        <v>94.2</v>
      </c>
      <c r="D34" s="13">
        <v>9.42</v>
      </c>
      <c r="E34" s="4"/>
    </row>
    <row r="35" spans="1:5" x14ac:dyDescent="0.25">
      <c r="A35" s="4" t="s">
        <v>42</v>
      </c>
      <c r="B35" s="12">
        <v>121.3</v>
      </c>
      <c r="C35" s="13">
        <f t="shared" si="0"/>
        <v>126.1</v>
      </c>
      <c r="D35" s="13">
        <v>12.61</v>
      </c>
      <c r="E35" s="4"/>
    </row>
    <row r="36" spans="1:5" x14ac:dyDescent="0.25">
      <c r="A36" s="4" t="s">
        <v>45</v>
      </c>
      <c r="B36" s="13">
        <v>13.23</v>
      </c>
      <c r="C36" s="13">
        <f t="shared" si="0"/>
        <v>15.4</v>
      </c>
      <c r="D36" s="13">
        <v>1.54</v>
      </c>
      <c r="E36" s="4"/>
    </row>
    <row r="37" spans="1:5" x14ac:dyDescent="0.25">
      <c r="A37" s="4" t="s">
        <v>46</v>
      </c>
      <c r="B37" s="13">
        <v>16.239999999999998</v>
      </c>
      <c r="C37" s="13">
        <f t="shared" si="0"/>
        <v>3.5999999999999996</v>
      </c>
      <c r="D37" s="13">
        <v>0.36</v>
      </c>
      <c r="E37" s="4"/>
    </row>
    <row r="38" spans="1:5" x14ac:dyDescent="0.25">
      <c r="A38" s="4" t="s">
        <v>47</v>
      </c>
      <c r="B38" s="13">
        <v>92.57</v>
      </c>
      <c r="C38" s="13">
        <f t="shared" si="0"/>
        <v>92.100000000000009</v>
      </c>
      <c r="D38" s="13">
        <v>9.2100000000000009</v>
      </c>
      <c r="E38" s="4"/>
    </row>
    <row r="39" spans="1:5" x14ac:dyDescent="0.25">
      <c r="A39" s="4" t="s">
        <v>48</v>
      </c>
      <c r="B39" s="13">
        <v>111.7</v>
      </c>
      <c r="C39" s="13">
        <f t="shared" si="0"/>
        <v>29.700000000000003</v>
      </c>
      <c r="D39" s="13">
        <v>2.97</v>
      </c>
      <c r="E39" s="4"/>
    </row>
    <row r="40" spans="1:5" x14ac:dyDescent="0.25">
      <c r="A40" s="4" t="s">
        <v>49</v>
      </c>
      <c r="B40" s="13">
        <v>52.54</v>
      </c>
      <c r="C40" s="13">
        <f t="shared" si="0"/>
        <v>46.3</v>
      </c>
      <c r="D40" s="13">
        <v>4.63</v>
      </c>
      <c r="E40" s="4"/>
    </row>
    <row r="41" spans="1:5" x14ac:dyDescent="0.25">
      <c r="A41" s="4" t="s">
        <v>57</v>
      </c>
      <c r="B41" s="12">
        <v>16.239999999999998</v>
      </c>
      <c r="C41" s="13">
        <f t="shared" si="0"/>
        <v>12.3</v>
      </c>
      <c r="D41" s="13">
        <v>1.23</v>
      </c>
      <c r="E41" s="4"/>
    </row>
    <row r="42" spans="1:5" x14ac:dyDescent="0.25">
      <c r="A42" s="4" t="s">
        <v>60</v>
      </c>
      <c r="B42" s="13">
        <v>230.1</v>
      </c>
      <c r="C42" s="13">
        <f t="shared" si="0"/>
        <v>811.2</v>
      </c>
      <c r="D42" s="13">
        <v>81.12</v>
      </c>
      <c r="E42" s="4"/>
    </row>
    <row r="43" spans="1:5" x14ac:dyDescent="0.25">
      <c r="A43" s="4" t="s">
        <v>61</v>
      </c>
      <c r="B43" s="12">
        <v>3.35</v>
      </c>
      <c r="C43" s="13">
        <f t="shared" si="0"/>
        <v>1.7999999999999998</v>
      </c>
      <c r="D43" s="13">
        <v>0.18</v>
      </c>
      <c r="E43" s="4"/>
    </row>
    <row r="44" spans="1:5" x14ac:dyDescent="0.25">
      <c r="A44" s="4" t="s">
        <v>64</v>
      </c>
      <c r="B44" s="13">
        <v>22.8</v>
      </c>
      <c r="C44" s="13">
        <f t="shared" si="0"/>
        <v>3.2</v>
      </c>
      <c r="D44" s="13">
        <v>0.32</v>
      </c>
      <c r="E44" s="4"/>
    </row>
    <row r="45" spans="1:5" x14ac:dyDescent="0.25">
      <c r="A45" s="4" t="s">
        <v>65</v>
      </c>
      <c r="B45" s="12">
        <v>150.19999999999999</v>
      </c>
      <c r="C45" s="13">
        <f t="shared" si="0"/>
        <v>75.599999999999994</v>
      </c>
      <c r="D45" s="13">
        <v>7.56</v>
      </c>
      <c r="E45" s="4"/>
    </row>
    <row r="46" spans="1:5" x14ac:dyDescent="0.25">
      <c r="A46" s="4" t="s">
        <v>68</v>
      </c>
      <c r="B46" s="13">
        <v>159.4</v>
      </c>
      <c r="C46" s="13">
        <f t="shared" si="0"/>
        <v>82.2</v>
      </c>
      <c r="D46" s="13">
        <v>8.2200000000000006</v>
      </c>
      <c r="E46" s="4"/>
    </row>
    <row r="47" spans="1:5" x14ac:dyDescent="0.25">
      <c r="A47" s="4" t="s">
        <v>69</v>
      </c>
      <c r="B47" s="13">
        <v>117.8</v>
      </c>
      <c r="C47" s="13">
        <f t="shared" si="0"/>
        <v>43.7</v>
      </c>
      <c r="D47" s="13">
        <v>4.37</v>
      </c>
      <c r="E47" s="4"/>
    </row>
    <row r="48" spans="1:5" x14ac:dyDescent="0.25">
      <c r="A48" s="4" t="s">
        <v>70</v>
      </c>
      <c r="B48" s="13">
        <v>113.3</v>
      </c>
      <c r="C48" s="13">
        <f t="shared" si="0"/>
        <v>61.3</v>
      </c>
      <c r="D48" s="13">
        <v>6.13</v>
      </c>
      <c r="E48" s="4"/>
    </row>
    <row r="49" spans="1:5" x14ac:dyDescent="0.25">
      <c r="A49" s="4" t="s">
        <v>71</v>
      </c>
      <c r="B49" s="12">
        <v>56.71</v>
      </c>
      <c r="C49" s="13">
        <f t="shared" si="0"/>
        <v>72.5</v>
      </c>
      <c r="D49" s="13">
        <v>7.25</v>
      </c>
      <c r="E49" s="4"/>
    </row>
    <row r="50" spans="1:5" x14ac:dyDescent="0.25">
      <c r="A50" s="4" t="s">
        <v>74</v>
      </c>
      <c r="B50" s="14">
        <v>0</v>
      </c>
      <c r="C50" s="14">
        <f t="shared" si="0"/>
        <v>0</v>
      </c>
      <c r="D50" s="14">
        <v>0</v>
      </c>
      <c r="E50" s="4"/>
    </row>
    <row r="51" spans="1:5" x14ac:dyDescent="0.25">
      <c r="A51" s="4" t="s">
        <v>75</v>
      </c>
      <c r="B51" s="13">
        <v>299.7</v>
      </c>
      <c r="C51" s="13">
        <f t="shared" si="0"/>
        <v>350.3</v>
      </c>
      <c r="D51" s="13">
        <v>35.03</v>
      </c>
      <c r="E51" s="4"/>
    </row>
    <row r="52" spans="1:5" x14ac:dyDescent="0.25">
      <c r="A52" s="4" t="s">
        <v>76</v>
      </c>
      <c r="B52" s="13">
        <v>135.4</v>
      </c>
      <c r="C52" s="13">
        <f t="shared" si="0"/>
        <v>14.5</v>
      </c>
      <c r="D52" s="13">
        <v>1.45</v>
      </c>
      <c r="E52" s="4"/>
    </row>
    <row r="53" spans="1:5" x14ac:dyDescent="0.25">
      <c r="A53" s="4" t="s">
        <v>77</v>
      </c>
      <c r="B53" s="13">
        <v>81.599999999999994</v>
      </c>
      <c r="C53" s="13">
        <f t="shared" si="0"/>
        <v>89.7</v>
      </c>
      <c r="D53" s="13">
        <v>8.9700000000000006</v>
      </c>
      <c r="E53" s="4"/>
    </row>
    <row r="54" spans="1:5" x14ac:dyDescent="0.25">
      <c r="A54" s="4" t="s">
        <v>78</v>
      </c>
      <c r="B54" s="14">
        <v>0</v>
      </c>
      <c r="C54" s="14">
        <f t="shared" si="0"/>
        <v>0</v>
      </c>
      <c r="D54" s="14">
        <v>0</v>
      </c>
      <c r="E54" s="4"/>
    </row>
    <row r="55" spans="1:5" x14ac:dyDescent="0.25">
      <c r="A55" s="4" t="s">
        <v>79</v>
      </c>
      <c r="B55" s="14">
        <v>0</v>
      </c>
      <c r="C55" s="14">
        <f t="shared" si="0"/>
        <v>0</v>
      </c>
      <c r="D55" s="14">
        <v>0</v>
      </c>
      <c r="E55" s="4"/>
    </row>
    <row r="56" spans="1:5" x14ac:dyDescent="0.25">
      <c r="A56" s="4" t="s">
        <v>80</v>
      </c>
      <c r="B56" s="14">
        <v>0</v>
      </c>
      <c r="C56" s="14">
        <f t="shared" si="0"/>
        <v>0</v>
      </c>
      <c r="D56" s="14">
        <v>0</v>
      </c>
      <c r="E56" s="4"/>
    </row>
    <row r="57" spans="1:5" x14ac:dyDescent="0.25">
      <c r="A57" s="4" t="s">
        <v>81</v>
      </c>
      <c r="B57" s="13">
        <v>212.2</v>
      </c>
      <c r="C57" s="13">
        <f t="shared" si="0"/>
        <v>172.89999999999998</v>
      </c>
      <c r="D57" s="13">
        <v>17.29</v>
      </c>
      <c r="E57" s="4"/>
    </row>
    <row r="58" spans="1:5" x14ac:dyDescent="0.25">
      <c r="A58" s="4" t="s">
        <v>82</v>
      </c>
      <c r="B58" s="13">
        <v>45.34</v>
      </c>
      <c r="C58" s="13">
        <f t="shared" si="0"/>
        <v>6.3</v>
      </c>
      <c r="D58" s="13">
        <v>0.63</v>
      </c>
      <c r="E58" s="4"/>
    </row>
    <row r="59" spans="1:5" x14ac:dyDescent="0.25">
      <c r="A59" s="4" t="s">
        <v>83</v>
      </c>
      <c r="B59" s="13">
        <v>18.760000000000002</v>
      </c>
      <c r="C59" s="13">
        <f t="shared" si="0"/>
        <v>5.0999999999999996</v>
      </c>
      <c r="D59" s="13">
        <v>0.51</v>
      </c>
      <c r="E59" s="4"/>
    </row>
    <row r="60" spans="1:5" x14ac:dyDescent="0.25">
      <c r="A60" s="4" t="s">
        <v>84</v>
      </c>
      <c r="B60" s="13">
        <v>0.12</v>
      </c>
      <c r="C60" s="13">
        <f t="shared" si="0"/>
        <v>0</v>
      </c>
      <c r="D60" s="13">
        <v>0</v>
      </c>
      <c r="E60" s="4"/>
    </row>
    <row r="61" spans="1:5" x14ac:dyDescent="0.25">
      <c r="A61" s="4" t="s">
        <v>85</v>
      </c>
      <c r="B61" s="14">
        <v>0</v>
      </c>
      <c r="C61" s="14">
        <f t="shared" si="0"/>
        <v>0</v>
      </c>
      <c r="D61" s="14">
        <v>0</v>
      </c>
      <c r="E61" s="4"/>
    </row>
    <row r="62" spans="1:5" x14ac:dyDescent="0.25">
      <c r="A62" s="4" t="s">
        <v>86</v>
      </c>
      <c r="B62" s="12">
        <v>8.11</v>
      </c>
      <c r="C62" s="13">
        <f t="shared" si="0"/>
        <v>3.5999999999999996</v>
      </c>
      <c r="D62" s="13">
        <v>0.36</v>
      </c>
      <c r="E62" s="4"/>
    </row>
    <row r="63" spans="1:5" x14ac:dyDescent="0.25">
      <c r="A63" s="4" t="s">
        <v>88</v>
      </c>
      <c r="B63" s="14">
        <v>0</v>
      </c>
      <c r="C63" s="14">
        <f t="shared" si="0"/>
        <v>0</v>
      </c>
      <c r="D63" s="14">
        <v>0</v>
      </c>
      <c r="E63" s="4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Schlesien Weir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Gaspar</dc:creator>
  <cp:lastModifiedBy>Martin Mendelsohn</cp:lastModifiedBy>
  <dcterms:created xsi:type="dcterms:W3CDTF">2020-06-12T14:04:12Z</dcterms:created>
  <dcterms:modified xsi:type="dcterms:W3CDTF">2020-06-22T13:38:32Z</dcterms:modified>
</cp:coreProperties>
</file>