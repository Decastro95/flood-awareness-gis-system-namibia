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#Atlas_of_Namibia\04 Water\Figure 4_04 Seasonal variation in perennial river flow\"/>
    </mc:Choice>
  </mc:AlternateContent>
  <xr:revisionPtr revIDLastSave="0" documentId="13_ncr:1_{6E87C43B-BEAD-4011-9AF5-C9CB36BF554D}" xr6:coauthVersionLast="46" xr6:coauthVersionMax="46" xr10:uidLastSave="{00000000-0000-0000-0000-000000000000}"/>
  <bookViews>
    <workbookView xWindow="-100" yWindow="-100" windowWidth="21467" windowHeight="11576" activeTab="1" xr2:uid="{00000000-000D-0000-FFFF-FFFF00000000}"/>
  </bookViews>
  <sheets>
    <sheet name="monthly flows" sheetId="1" r:id="rId1"/>
    <sheet name="Average flows" sheetId="4" r:id="rId2"/>
    <sheet name="Stats for rivers" sheetId="3" r:id="rId3"/>
  </sheets>
  <definedNames>
    <definedName name="_xlnm._FilterDatabase" localSheetId="2" hidden="1">'Stats for rivers'!$J$2:$O$8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U232" i="1" l="1"/>
  <c r="U233" i="1"/>
  <c r="U234" i="1"/>
  <c r="U235" i="1"/>
  <c r="U236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O7" i="3" l="1"/>
  <c r="N7" i="3"/>
  <c r="M7" i="3"/>
  <c r="L7" i="3"/>
  <c r="K7" i="3"/>
  <c r="H2" i="3"/>
  <c r="H3" i="3"/>
  <c r="H4" i="3"/>
  <c r="H5" i="3"/>
  <c r="H6" i="3"/>
  <c r="G6" i="3" l="1"/>
  <c r="G5" i="3"/>
  <c r="G4" i="3"/>
  <c r="G3" i="3"/>
  <c r="G2" i="3"/>
  <c r="F6" i="3"/>
  <c r="F5" i="3"/>
  <c r="F4" i="3"/>
  <c r="F3" i="3"/>
  <c r="F2" i="3"/>
  <c r="E6" i="3"/>
  <c r="E5" i="3"/>
  <c r="E4" i="3"/>
  <c r="E3" i="3"/>
  <c r="E2" i="3"/>
  <c r="D6" i="3"/>
  <c r="D5" i="3"/>
  <c r="D4" i="3"/>
  <c r="D3" i="3"/>
  <c r="D2" i="3"/>
  <c r="C6" i="3"/>
  <c r="C5" i="3"/>
  <c r="C4" i="3"/>
  <c r="C3" i="3"/>
  <c r="C2" i="3"/>
  <c r="B6" i="3"/>
  <c r="B5" i="3"/>
  <c r="B4" i="3"/>
  <c r="B3" i="3"/>
  <c r="B2" i="3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4" i="1"/>
  <c r="V5" i="1" l="1"/>
  <c r="V229" i="1"/>
  <c r="V181" i="1"/>
  <c r="V125" i="1"/>
  <c r="V85" i="1"/>
  <c r="V77" i="1"/>
  <c r="V45" i="1"/>
  <c r="V29" i="1"/>
  <c r="V21" i="1"/>
  <c r="V13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V205" i="1"/>
  <c r="V157" i="1"/>
  <c r="V117" i="1"/>
  <c r="V53" i="1"/>
  <c r="V219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11" i="1"/>
  <c r="V213" i="1"/>
  <c r="V149" i="1"/>
  <c r="V109" i="1"/>
  <c r="V69" i="1"/>
  <c r="V235" i="1"/>
  <c r="V234" i="1"/>
  <c r="V210" i="1"/>
  <c r="V186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10" i="1"/>
  <c r="V221" i="1"/>
  <c r="V189" i="1"/>
  <c r="V133" i="1"/>
  <c r="V101" i="1"/>
  <c r="V61" i="1"/>
  <c r="V227" i="1"/>
  <c r="V203" i="1"/>
  <c r="V218" i="1"/>
  <c r="V194" i="1"/>
  <c r="V178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9" i="1"/>
  <c r="V197" i="1"/>
  <c r="V141" i="1"/>
  <c r="V93" i="1"/>
  <c r="V37" i="1"/>
  <c r="V211" i="1"/>
  <c r="V226" i="1"/>
  <c r="V202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4" i="1"/>
  <c r="V173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165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M232" i="1"/>
  <c r="G224" i="1"/>
  <c r="G216" i="1"/>
  <c r="M200" i="1"/>
  <c r="M192" i="1"/>
  <c r="M176" i="1"/>
  <c r="M190" i="1"/>
  <c r="M223" i="1"/>
  <c r="G206" i="1"/>
  <c r="G158" i="1"/>
  <c r="G126" i="1"/>
  <c r="G78" i="1"/>
  <c r="G38" i="1"/>
  <c r="M220" i="1"/>
  <c r="M204" i="1"/>
  <c r="G180" i="1"/>
  <c r="G164" i="1"/>
  <c r="G156" i="1"/>
  <c r="G132" i="1"/>
  <c r="M116" i="1"/>
  <c r="S100" i="1"/>
  <c r="G84" i="1"/>
  <c r="G68" i="1"/>
  <c r="G60" i="1"/>
  <c r="G52" i="1"/>
  <c r="G36" i="1"/>
  <c r="M28" i="1"/>
  <c r="G20" i="1"/>
  <c r="G12" i="1"/>
  <c r="M150" i="1"/>
  <c r="G110" i="1"/>
  <c r="G30" i="1"/>
  <c r="M203" i="1"/>
  <c r="G208" i="1"/>
  <c r="G152" i="1"/>
  <c r="M214" i="1"/>
  <c r="G166" i="1"/>
  <c r="G134" i="1"/>
  <c r="M94" i="1"/>
  <c r="G46" i="1"/>
  <c r="M236" i="1"/>
  <c r="M211" i="1"/>
  <c r="P226" i="1"/>
  <c r="G218" i="1"/>
  <c r="M210" i="1"/>
  <c r="M194" i="1"/>
  <c r="G186" i="1"/>
  <c r="P178" i="1"/>
  <c r="P162" i="1"/>
  <c r="G146" i="1"/>
  <c r="G130" i="1"/>
  <c r="G114" i="1"/>
  <c r="P98" i="1"/>
  <c r="G82" i="1"/>
  <c r="G50" i="1"/>
  <c r="G18" i="1"/>
  <c r="M160" i="1"/>
  <c r="M222" i="1"/>
  <c r="J182" i="1"/>
  <c r="M118" i="1"/>
  <c r="G102" i="1"/>
  <c r="S62" i="1"/>
  <c r="M235" i="1"/>
  <c r="G227" i="1"/>
  <c r="G209" i="1"/>
  <c r="G201" i="1"/>
  <c r="P193" i="1"/>
  <c r="G169" i="1"/>
  <c r="G137" i="1"/>
  <c r="G105" i="1"/>
  <c r="G73" i="1"/>
  <c r="G41" i="1"/>
  <c r="G9" i="1"/>
  <c r="G168" i="1"/>
  <c r="M144" i="1"/>
  <c r="G136" i="1"/>
  <c r="M128" i="1"/>
  <c r="M112" i="1"/>
  <c r="G104" i="1"/>
  <c r="M96" i="1"/>
  <c r="M88" i="1"/>
  <c r="G80" i="1"/>
  <c r="M72" i="1"/>
  <c r="M56" i="1"/>
  <c r="G48" i="1"/>
  <c r="G40" i="1"/>
  <c r="G16" i="1"/>
  <c r="G8" i="1"/>
  <c r="G207" i="1"/>
  <c r="M191" i="1"/>
  <c r="M183" i="1"/>
  <c r="M167" i="1"/>
  <c r="M151" i="1"/>
  <c r="M135" i="1"/>
  <c r="M119" i="1"/>
  <c r="M103" i="1"/>
  <c r="M95" i="1"/>
  <c r="M79" i="1"/>
  <c r="M55" i="1"/>
  <c r="M215" i="1"/>
  <c r="G198" i="1"/>
  <c r="G174" i="1"/>
  <c r="G142" i="1"/>
  <c r="G70" i="1"/>
  <c r="M54" i="1"/>
  <c r="G14" i="1"/>
  <c r="G6" i="1"/>
  <c r="J4" i="1"/>
  <c r="D4" i="1"/>
  <c r="D229" i="1"/>
  <c r="G205" i="1"/>
  <c r="G197" i="1"/>
  <c r="G189" i="1"/>
  <c r="G173" i="1"/>
  <c r="G165" i="1"/>
  <c r="G157" i="1"/>
  <c r="G141" i="1"/>
  <c r="G133" i="1"/>
  <c r="G125" i="1"/>
  <c r="G109" i="1"/>
  <c r="G101" i="1"/>
  <c r="G93" i="1"/>
  <c r="G77" i="1"/>
  <c r="G69" i="1"/>
  <c r="G61" i="1"/>
  <c r="D53" i="1"/>
  <c r="G45" i="1"/>
  <c r="G37" i="1"/>
  <c r="G29" i="1"/>
  <c r="G13" i="1"/>
  <c r="G5" i="1"/>
  <c r="J212" i="1"/>
  <c r="S212" i="1"/>
  <c r="D212" i="1"/>
  <c r="P212" i="1"/>
  <c r="J148" i="1"/>
  <c r="D148" i="1"/>
  <c r="S148" i="1"/>
  <c r="P148" i="1"/>
  <c r="J76" i="1"/>
  <c r="P76" i="1"/>
  <c r="S76" i="1"/>
  <c r="D76" i="1"/>
  <c r="M76" i="1"/>
  <c r="P219" i="1"/>
  <c r="D219" i="1"/>
  <c r="J219" i="1"/>
  <c r="S179" i="1"/>
  <c r="J179" i="1"/>
  <c r="P179" i="1"/>
  <c r="G179" i="1"/>
  <c r="M179" i="1"/>
  <c r="D179" i="1"/>
  <c r="D171" i="1"/>
  <c r="S171" i="1"/>
  <c r="G171" i="1"/>
  <c r="M171" i="1"/>
  <c r="J171" i="1"/>
  <c r="P171" i="1"/>
  <c r="J163" i="1"/>
  <c r="D163" i="1"/>
  <c r="S163" i="1"/>
  <c r="P163" i="1"/>
  <c r="G163" i="1"/>
  <c r="M163" i="1"/>
  <c r="G155" i="1"/>
  <c r="M155" i="1"/>
  <c r="S155" i="1"/>
  <c r="P155" i="1"/>
  <c r="D155" i="1"/>
  <c r="J147" i="1"/>
  <c r="D147" i="1"/>
  <c r="S147" i="1"/>
  <c r="G147" i="1"/>
  <c r="P147" i="1"/>
  <c r="M147" i="1"/>
  <c r="J139" i="1"/>
  <c r="D139" i="1"/>
  <c r="S139" i="1"/>
  <c r="G139" i="1"/>
  <c r="M139" i="1"/>
  <c r="S131" i="1"/>
  <c r="G131" i="1"/>
  <c r="D131" i="1"/>
  <c r="J131" i="1"/>
  <c r="M131" i="1"/>
  <c r="P131" i="1"/>
  <c r="J123" i="1"/>
  <c r="D123" i="1"/>
  <c r="S123" i="1"/>
  <c r="G123" i="1"/>
  <c r="P123" i="1"/>
  <c r="M123" i="1"/>
  <c r="J115" i="1"/>
  <c r="G115" i="1"/>
  <c r="M115" i="1"/>
  <c r="S115" i="1"/>
  <c r="D115" i="1"/>
  <c r="D107" i="1"/>
  <c r="S107" i="1"/>
  <c r="G107" i="1"/>
  <c r="M107" i="1"/>
  <c r="P107" i="1"/>
  <c r="J99" i="1"/>
  <c r="D99" i="1"/>
  <c r="S99" i="1"/>
  <c r="P99" i="1"/>
  <c r="G99" i="1"/>
  <c r="M99" i="1"/>
  <c r="J91" i="1"/>
  <c r="G91" i="1"/>
  <c r="M91" i="1"/>
  <c r="P91" i="1"/>
  <c r="S91" i="1"/>
  <c r="J83" i="1"/>
  <c r="D83" i="1"/>
  <c r="S83" i="1"/>
  <c r="G83" i="1"/>
  <c r="P83" i="1"/>
  <c r="M83" i="1"/>
  <c r="J75" i="1"/>
  <c r="D75" i="1"/>
  <c r="G75" i="1"/>
  <c r="S75" i="1"/>
  <c r="M75" i="1"/>
  <c r="S67" i="1"/>
  <c r="J67" i="1"/>
  <c r="G67" i="1"/>
  <c r="D67" i="1"/>
  <c r="M67" i="1"/>
  <c r="P67" i="1"/>
  <c r="J59" i="1"/>
  <c r="D59" i="1"/>
  <c r="S59" i="1"/>
  <c r="G59" i="1"/>
  <c r="P59" i="1"/>
  <c r="M59" i="1"/>
  <c r="J51" i="1"/>
  <c r="G51" i="1"/>
  <c r="M51" i="1"/>
  <c r="S51" i="1"/>
  <c r="D51" i="1"/>
  <c r="D43" i="1"/>
  <c r="S43" i="1"/>
  <c r="G43" i="1"/>
  <c r="M43" i="1"/>
  <c r="P43" i="1"/>
  <c r="J43" i="1"/>
  <c r="J35" i="1"/>
  <c r="D35" i="1"/>
  <c r="S35" i="1"/>
  <c r="P35" i="1"/>
  <c r="G35" i="1"/>
  <c r="M35" i="1"/>
  <c r="J27" i="1"/>
  <c r="D27" i="1"/>
  <c r="G27" i="1"/>
  <c r="P27" i="1"/>
  <c r="J19" i="1"/>
  <c r="D19" i="1"/>
  <c r="S19" i="1"/>
  <c r="M19" i="1"/>
  <c r="G19" i="1"/>
  <c r="P19" i="1"/>
  <c r="J11" i="1"/>
  <c r="D11" i="1"/>
  <c r="G11" i="1"/>
  <c r="S11" i="1"/>
  <c r="M11" i="1"/>
  <c r="G219" i="1"/>
  <c r="G210" i="1"/>
  <c r="G190" i="1"/>
  <c r="G148" i="1"/>
  <c r="G116" i="1"/>
  <c r="G94" i="1"/>
  <c r="G62" i="1"/>
  <c r="M226" i="1"/>
  <c r="M80" i="1"/>
  <c r="M62" i="1"/>
  <c r="M37" i="1"/>
  <c r="M6" i="1"/>
  <c r="P115" i="1"/>
  <c r="P28" i="1"/>
  <c r="S130" i="1"/>
  <c r="D91" i="1"/>
  <c r="S180" i="1"/>
  <c r="P180" i="1"/>
  <c r="D180" i="1"/>
  <c r="J180" i="1"/>
  <c r="J124" i="1"/>
  <c r="D124" i="1"/>
  <c r="S124" i="1"/>
  <c r="P124" i="1"/>
  <c r="S194" i="1"/>
  <c r="J194" i="1"/>
  <c r="J10" i="1"/>
  <c r="D10" i="1"/>
  <c r="S10" i="1"/>
  <c r="M10" i="1"/>
  <c r="G226" i="1"/>
  <c r="G200" i="1"/>
  <c r="G178" i="1"/>
  <c r="G72" i="1"/>
  <c r="M224" i="1"/>
  <c r="M182" i="1"/>
  <c r="M166" i="1"/>
  <c r="M134" i="1"/>
  <c r="M102" i="1"/>
  <c r="M36" i="1"/>
  <c r="M5" i="1"/>
  <c r="P11" i="1"/>
  <c r="J236" i="1"/>
  <c r="D236" i="1"/>
  <c r="J188" i="1"/>
  <c r="D188" i="1"/>
  <c r="P188" i="1"/>
  <c r="J140" i="1"/>
  <c r="P140" i="1"/>
  <c r="S140" i="1"/>
  <c r="D140" i="1"/>
  <c r="S92" i="1"/>
  <c r="D92" i="1"/>
  <c r="M92" i="1"/>
  <c r="J92" i="1"/>
  <c r="J44" i="1"/>
  <c r="D44" i="1"/>
  <c r="S44" i="1"/>
  <c r="M44" i="1"/>
  <c r="P44" i="1"/>
  <c r="S203" i="1"/>
  <c r="J203" i="1"/>
  <c r="D203" i="1"/>
  <c r="G203" i="1"/>
  <c r="P203" i="1"/>
  <c r="D234" i="1"/>
  <c r="J234" i="1"/>
  <c r="S234" i="1"/>
  <c r="P234" i="1"/>
  <c r="S202" i="1"/>
  <c r="J202" i="1"/>
  <c r="D202" i="1"/>
  <c r="P202" i="1"/>
  <c r="S170" i="1"/>
  <c r="M170" i="1"/>
  <c r="D170" i="1"/>
  <c r="J170" i="1"/>
  <c r="P170" i="1"/>
  <c r="J154" i="1"/>
  <c r="M154" i="1"/>
  <c r="S154" i="1"/>
  <c r="P154" i="1"/>
  <c r="D154" i="1"/>
  <c r="J138" i="1"/>
  <c r="D138" i="1"/>
  <c r="S138" i="1"/>
  <c r="M138" i="1"/>
  <c r="J122" i="1"/>
  <c r="D122" i="1"/>
  <c r="S122" i="1"/>
  <c r="P122" i="1"/>
  <c r="M122" i="1"/>
  <c r="J114" i="1"/>
  <c r="D114" i="1"/>
  <c r="M114" i="1"/>
  <c r="S114" i="1"/>
  <c r="P114" i="1"/>
  <c r="S106" i="1"/>
  <c r="M106" i="1"/>
  <c r="P106" i="1"/>
  <c r="D106" i="1"/>
  <c r="J106" i="1"/>
  <c r="J98" i="1"/>
  <c r="D98" i="1"/>
  <c r="S98" i="1"/>
  <c r="M98" i="1"/>
  <c r="J90" i="1"/>
  <c r="M90" i="1"/>
  <c r="P90" i="1"/>
  <c r="S90" i="1"/>
  <c r="D90" i="1"/>
  <c r="D82" i="1"/>
  <c r="S82" i="1"/>
  <c r="P82" i="1"/>
  <c r="M82" i="1"/>
  <c r="J82" i="1"/>
  <c r="J74" i="1"/>
  <c r="D74" i="1"/>
  <c r="S74" i="1"/>
  <c r="M74" i="1"/>
  <c r="J66" i="1"/>
  <c r="S66" i="1"/>
  <c r="D66" i="1"/>
  <c r="M66" i="1"/>
  <c r="P66" i="1"/>
  <c r="J58" i="1"/>
  <c r="D58" i="1"/>
  <c r="S58" i="1"/>
  <c r="P58" i="1"/>
  <c r="M58" i="1"/>
  <c r="J50" i="1"/>
  <c r="D50" i="1"/>
  <c r="M50" i="1"/>
  <c r="S50" i="1"/>
  <c r="P50" i="1"/>
  <c r="S42" i="1"/>
  <c r="M42" i="1"/>
  <c r="P42" i="1"/>
  <c r="J42" i="1"/>
  <c r="D42" i="1"/>
  <c r="J34" i="1"/>
  <c r="D34" i="1"/>
  <c r="S34" i="1"/>
  <c r="M34" i="1"/>
  <c r="J26" i="1"/>
  <c r="P26" i="1"/>
  <c r="S26" i="1"/>
  <c r="D18" i="1"/>
  <c r="S18" i="1"/>
  <c r="J18" i="1"/>
  <c r="P18" i="1"/>
  <c r="J233" i="1"/>
  <c r="D233" i="1"/>
  <c r="S233" i="1"/>
  <c r="M233" i="1"/>
  <c r="P233" i="1"/>
  <c r="J225" i="1"/>
  <c r="D225" i="1"/>
  <c r="S225" i="1"/>
  <c r="M225" i="1"/>
  <c r="J217" i="1"/>
  <c r="D217" i="1"/>
  <c r="S217" i="1"/>
  <c r="M217" i="1"/>
  <c r="P217" i="1"/>
  <c r="J209" i="1"/>
  <c r="D209" i="1"/>
  <c r="M209" i="1"/>
  <c r="S209" i="1"/>
  <c r="J201" i="1"/>
  <c r="D201" i="1"/>
  <c r="S201" i="1"/>
  <c r="M201" i="1"/>
  <c r="P201" i="1"/>
  <c r="J193" i="1"/>
  <c r="D193" i="1"/>
  <c r="S193" i="1"/>
  <c r="M193" i="1"/>
  <c r="J185" i="1"/>
  <c r="D185" i="1"/>
  <c r="S185" i="1"/>
  <c r="M185" i="1"/>
  <c r="P185" i="1"/>
  <c r="J177" i="1"/>
  <c r="D177" i="1"/>
  <c r="M177" i="1"/>
  <c r="S177" i="1"/>
  <c r="J169" i="1"/>
  <c r="D169" i="1"/>
  <c r="S169" i="1"/>
  <c r="M169" i="1"/>
  <c r="P169" i="1"/>
  <c r="J161" i="1"/>
  <c r="D161" i="1"/>
  <c r="S161" i="1"/>
  <c r="P161" i="1"/>
  <c r="M161" i="1"/>
  <c r="J153" i="1"/>
  <c r="D153" i="1"/>
  <c r="S153" i="1"/>
  <c r="P153" i="1"/>
  <c r="M153" i="1"/>
  <c r="J145" i="1"/>
  <c r="D145" i="1"/>
  <c r="S145" i="1"/>
  <c r="P145" i="1"/>
  <c r="M145" i="1"/>
  <c r="J137" i="1"/>
  <c r="D137" i="1"/>
  <c r="S137" i="1"/>
  <c r="P137" i="1"/>
  <c r="M137" i="1"/>
  <c r="J129" i="1"/>
  <c r="D129" i="1"/>
  <c r="S129" i="1"/>
  <c r="P129" i="1"/>
  <c r="M129" i="1"/>
  <c r="J121" i="1"/>
  <c r="D121" i="1"/>
  <c r="S121" i="1"/>
  <c r="P121" i="1"/>
  <c r="M121" i="1"/>
  <c r="J113" i="1"/>
  <c r="D113" i="1"/>
  <c r="S113" i="1"/>
  <c r="P113" i="1"/>
  <c r="M113" i="1"/>
  <c r="J105" i="1"/>
  <c r="D105" i="1"/>
  <c r="S105" i="1"/>
  <c r="P105" i="1"/>
  <c r="M105" i="1"/>
  <c r="J97" i="1"/>
  <c r="D97" i="1"/>
  <c r="S97" i="1"/>
  <c r="P97" i="1"/>
  <c r="M97" i="1"/>
  <c r="J89" i="1"/>
  <c r="D89" i="1"/>
  <c r="S89" i="1"/>
  <c r="P89" i="1"/>
  <c r="M89" i="1"/>
  <c r="J81" i="1"/>
  <c r="D81" i="1"/>
  <c r="S81" i="1"/>
  <c r="P81" i="1"/>
  <c r="M81" i="1"/>
  <c r="J73" i="1"/>
  <c r="D73" i="1"/>
  <c r="S73" i="1"/>
  <c r="P73" i="1"/>
  <c r="M73" i="1"/>
  <c r="J65" i="1"/>
  <c r="D65" i="1"/>
  <c r="S65" i="1"/>
  <c r="P65" i="1"/>
  <c r="M65" i="1"/>
  <c r="J57" i="1"/>
  <c r="D57" i="1"/>
  <c r="S57" i="1"/>
  <c r="P57" i="1"/>
  <c r="M57" i="1"/>
  <c r="J49" i="1"/>
  <c r="D49" i="1"/>
  <c r="S49" i="1"/>
  <c r="P49" i="1"/>
  <c r="M49" i="1"/>
  <c r="J41" i="1"/>
  <c r="D41" i="1"/>
  <c r="S41" i="1"/>
  <c r="P41" i="1"/>
  <c r="M41" i="1"/>
  <c r="J33" i="1"/>
  <c r="D33" i="1"/>
  <c r="S33" i="1"/>
  <c r="P33" i="1"/>
  <c r="M33" i="1"/>
  <c r="J25" i="1"/>
  <c r="D25" i="1"/>
  <c r="S25" i="1"/>
  <c r="P25" i="1"/>
  <c r="M25" i="1"/>
  <c r="J17" i="1"/>
  <c r="D17" i="1"/>
  <c r="S17" i="1"/>
  <c r="P17" i="1"/>
  <c r="J9" i="1"/>
  <c r="D9" i="1"/>
  <c r="S9" i="1"/>
  <c r="P9" i="1"/>
  <c r="M9" i="1"/>
  <c r="G225" i="1"/>
  <c r="G217" i="1"/>
  <c r="G188" i="1"/>
  <c r="G177" i="1"/>
  <c r="G145" i="1"/>
  <c r="G124" i="1"/>
  <c r="G113" i="1"/>
  <c r="G92" i="1"/>
  <c r="G81" i="1"/>
  <c r="G49" i="1"/>
  <c r="G28" i="1"/>
  <c r="G17" i="1"/>
  <c r="M234" i="1"/>
  <c r="M212" i="1"/>
  <c r="M202" i="1"/>
  <c r="M180" i="1"/>
  <c r="M164" i="1"/>
  <c r="M148" i="1"/>
  <c r="M132" i="1"/>
  <c r="M78" i="1"/>
  <c r="P236" i="1"/>
  <c r="P177" i="1"/>
  <c r="P92" i="1"/>
  <c r="P10" i="1"/>
  <c r="D26" i="1"/>
  <c r="J8" i="1"/>
  <c r="D8" i="1"/>
  <c r="S8" i="1"/>
  <c r="P8" i="1"/>
  <c r="M8" i="1"/>
  <c r="G232" i="1"/>
  <c r="G176" i="1"/>
  <c r="G154" i="1"/>
  <c r="G144" i="1"/>
  <c r="G122" i="1"/>
  <c r="G112" i="1"/>
  <c r="G90" i="1"/>
  <c r="G58" i="1"/>
  <c r="G26" i="1"/>
  <c r="M27" i="1"/>
  <c r="P75" i="1"/>
  <c r="S220" i="1"/>
  <c r="S27" i="1"/>
  <c r="J220" i="1"/>
  <c r="D196" i="1"/>
  <c r="P196" i="1"/>
  <c r="J196" i="1"/>
  <c r="S156" i="1"/>
  <c r="J156" i="1"/>
  <c r="J100" i="1"/>
  <c r="D100" i="1"/>
  <c r="P100" i="1"/>
  <c r="M100" i="1"/>
  <c r="J52" i="1"/>
  <c r="M52" i="1"/>
  <c r="S52" i="1"/>
  <c r="D52" i="1"/>
  <c r="J227" i="1"/>
  <c r="D227" i="1"/>
  <c r="P227" i="1"/>
  <c r="S227" i="1"/>
  <c r="J187" i="1"/>
  <c r="D187" i="1"/>
  <c r="G187" i="1"/>
  <c r="P187" i="1"/>
  <c r="S187" i="1"/>
  <c r="J218" i="1"/>
  <c r="P218" i="1"/>
  <c r="D218" i="1"/>
  <c r="S218" i="1"/>
  <c r="J186" i="1"/>
  <c r="D186" i="1"/>
  <c r="P186" i="1"/>
  <c r="S186" i="1"/>
  <c r="D146" i="1"/>
  <c r="S146" i="1"/>
  <c r="P146" i="1"/>
  <c r="M146" i="1"/>
  <c r="J146" i="1"/>
  <c r="J232" i="1"/>
  <c r="D232" i="1"/>
  <c r="S232" i="1"/>
  <c r="P232" i="1"/>
  <c r="J224" i="1"/>
  <c r="D224" i="1"/>
  <c r="S224" i="1"/>
  <c r="P224" i="1"/>
  <c r="J208" i="1"/>
  <c r="D208" i="1"/>
  <c r="S208" i="1"/>
  <c r="P208" i="1"/>
  <c r="J192" i="1"/>
  <c r="D192" i="1"/>
  <c r="S192" i="1"/>
  <c r="P192" i="1"/>
  <c r="J168" i="1"/>
  <c r="D168" i="1"/>
  <c r="S168" i="1"/>
  <c r="P168" i="1"/>
  <c r="J144" i="1"/>
  <c r="D144" i="1"/>
  <c r="S144" i="1"/>
  <c r="P144" i="1"/>
  <c r="J120" i="1"/>
  <c r="D120" i="1"/>
  <c r="S120" i="1"/>
  <c r="P120" i="1"/>
  <c r="J96" i="1"/>
  <c r="D96" i="1"/>
  <c r="S96" i="1"/>
  <c r="P96" i="1"/>
  <c r="J72" i="1"/>
  <c r="D72" i="1"/>
  <c r="S72" i="1"/>
  <c r="P72" i="1"/>
  <c r="J48" i="1"/>
  <c r="D48" i="1"/>
  <c r="S48" i="1"/>
  <c r="P48" i="1"/>
  <c r="J32" i="1"/>
  <c r="D32" i="1"/>
  <c r="S32" i="1"/>
  <c r="P32" i="1"/>
  <c r="M32" i="1"/>
  <c r="J16" i="1"/>
  <c r="D16" i="1"/>
  <c r="S16" i="1"/>
  <c r="P16" i="1"/>
  <c r="M16" i="1"/>
  <c r="J231" i="1"/>
  <c r="D231" i="1"/>
  <c r="S231" i="1"/>
  <c r="P231" i="1"/>
  <c r="J223" i="1"/>
  <c r="D223" i="1"/>
  <c r="S223" i="1"/>
  <c r="P223" i="1"/>
  <c r="J215" i="1"/>
  <c r="D215" i="1"/>
  <c r="S215" i="1"/>
  <c r="P215" i="1"/>
  <c r="J207" i="1"/>
  <c r="D207" i="1"/>
  <c r="S207" i="1"/>
  <c r="P207" i="1"/>
  <c r="J199" i="1"/>
  <c r="D199" i="1"/>
  <c r="S199" i="1"/>
  <c r="P199" i="1"/>
  <c r="G199" i="1"/>
  <c r="J191" i="1"/>
  <c r="D191" i="1"/>
  <c r="S191" i="1"/>
  <c r="P191" i="1"/>
  <c r="G191" i="1"/>
  <c r="J183" i="1"/>
  <c r="D183" i="1"/>
  <c r="S183" i="1"/>
  <c r="P183" i="1"/>
  <c r="G183" i="1"/>
  <c r="J175" i="1"/>
  <c r="D175" i="1"/>
  <c r="S175" i="1"/>
  <c r="P175" i="1"/>
  <c r="G175" i="1"/>
  <c r="J167" i="1"/>
  <c r="D167" i="1"/>
  <c r="S167" i="1"/>
  <c r="P167" i="1"/>
  <c r="G167" i="1"/>
  <c r="J159" i="1"/>
  <c r="D159" i="1"/>
  <c r="S159" i="1"/>
  <c r="P159" i="1"/>
  <c r="G159" i="1"/>
  <c r="J151" i="1"/>
  <c r="D151" i="1"/>
  <c r="S151" i="1"/>
  <c r="P151" i="1"/>
  <c r="G151" i="1"/>
  <c r="J143" i="1"/>
  <c r="D143" i="1"/>
  <c r="S143" i="1"/>
  <c r="P143" i="1"/>
  <c r="G143" i="1"/>
  <c r="J135" i="1"/>
  <c r="D135" i="1"/>
  <c r="S135" i="1"/>
  <c r="P135" i="1"/>
  <c r="G135" i="1"/>
  <c r="J127" i="1"/>
  <c r="D127" i="1"/>
  <c r="S127" i="1"/>
  <c r="P127" i="1"/>
  <c r="G127" i="1"/>
  <c r="J119" i="1"/>
  <c r="D119" i="1"/>
  <c r="S119" i="1"/>
  <c r="P119" i="1"/>
  <c r="G119" i="1"/>
  <c r="J111" i="1"/>
  <c r="D111" i="1"/>
  <c r="S111" i="1"/>
  <c r="P111" i="1"/>
  <c r="G111" i="1"/>
  <c r="J103" i="1"/>
  <c r="D103" i="1"/>
  <c r="S103" i="1"/>
  <c r="P103" i="1"/>
  <c r="G103" i="1"/>
  <c r="J95" i="1"/>
  <c r="D95" i="1"/>
  <c r="S95" i="1"/>
  <c r="P95" i="1"/>
  <c r="G95" i="1"/>
  <c r="J87" i="1"/>
  <c r="D87" i="1"/>
  <c r="S87" i="1"/>
  <c r="P87" i="1"/>
  <c r="G87" i="1"/>
  <c r="J79" i="1"/>
  <c r="D79" i="1"/>
  <c r="S79" i="1"/>
  <c r="P79" i="1"/>
  <c r="G79" i="1"/>
  <c r="J71" i="1"/>
  <c r="D71" i="1"/>
  <c r="S71" i="1"/>
  <c r="P71" i="1"/>
  <c r="G71" i="1"/>
  <c r="J63" i="1"/>
  <c r="D63" i="1"/>
  <c r="S63" i="1"/>
  <c r="P63" i="1"/>
  <c r="G63" i="1"/>
  <c r="J55" i="1"/>
  <c r="D55" i="1"/>
  <c r="S55" i="1"/>
  <c r="P55" i="1"/>
  <c r="G55" i="1"/>
  <c r="J47" i="1"/>
  <c r="D47" i="1"/>
  <c r="S47" i="1"/>
  <c r="P47" i="1"/>
  <c r="G47" i="1"/>
  <c r="J39" i="1"/>
  <c r="D39" i="1"/>
  <c r="S39" i="1"/>
  <c r="P39" i="1"/>
  <c r="M39" i="1"/>
  <c r="G39" i="1"/>
  <c r="J31" i="1"/>
  <c r="D31" i="1"/>
  <c r="S31" i="1"/>
  <c r="P31" i="1"/>
  <c r="M31" i="1"/>
  <c r="G31" i="1"/>
  <c r="J23" i="1"/>
  <c r="D23" i="1"/>
  <c r="S23" i="1"/>
  <c r="P23" i="1"/>
  <c r="M23" i="1"/>
  <c r="G23" i="1"/>
  <c r="J15" i="1"/>
  <c r="D15" i="1"/>
  <c r="S15" i="1"/>
  <c r="P15" i="1"/>
  <c r="M15" i="1"/>
  <c r="G15" i="1"/>
  <c r="J7" i="1"/>
  <c r="D7" i="1"/>
  <c r="S7" i="1"/>
  <c r="P7" i="1"/>
  <c r="M7" i="1"/>
  <c r="G7" i="1"/>
  <c r="G231" i="1"/>
  <c r="G223" i="1"/>
  <c r="G215" i="1"/>
  <c r="G196" i="1"/>
  <c r="G185" i="1"/>
  <c r="G153" i="1"/>
  <c r="G121" i="1"/>
  <c r="G100" i="1"/>
  <c r="G89" i="1"/>
  <c r="G57" i="1"/>
  <c r="G25" i="1"/>
  <c r="G4" i="1"/>
  <c r="M231" i="1"/>
  <c r="M199" i="1"/>
  <c r="M188" i="1"/>
  <c r="M175" i="1"/>
  <c r="M159" i="1"/>
  <c r="M143" i="1"/>
  <c r="M127" i="1"/>
  <c r="M111" i="1"/>
  <c r="M71" i="1"/>
  <c r="M48" i="1"/>
  <c r="M26" i="1"/>
  <c r="P225" i="1"/>
  <c r="P156" i="1"/>
  <c r="P74" i="1"/>
  <c r="S219" i="1"/>
  <c r="S204" i="1"/>
  <c r="J204" i="1"/>
  <c r="D204" i="1"/>
  <c r="P204" i="1"/>
  <c r="J164" i="1"/>
  <c r="D164" i="1"/>
  <c r="P164" i="1"/>
  <c r="S164" i="1"/>
  <c r="J108" i="1"/>
  <c r="D108" i="1"/>
  <c r="S108" i="1"/>
  <c r="P108" i="1"/>
  <c r="D68" i="1"/>
  <c r="S68" i="1"/>
  <c r="J68" i="1"/>
  <c r="M68" i="1"/>
  <c r="P68" i="1"/>
  <c r="D235" i="1"/>
  <c r="J235" i="1"/>
  <c r="P235" i="1"/>
  <c r="S195" i="1"/>
  <c r="D195" i="1"/>
  <c r="P195" i="1"/>
  <c r="G195" i="1"/>
  <c r="J195" i="1"/>
  <c r="D210" i="1"/>
  <c r="S210" i="1"/>
  <c r="J210" i="1"/>
  <c r="J162" i="1"/>
  <c r="D162" i="1"/>
  <c r="S162" i="1"/>
  <c r="M162" i="1"/>
  <c r="J184" i="1"/>
  <c r="D184" i="1"/>
  <c r="S184" i="1"/>
  <c r="P184" i="1"/>
  <c r="J160" i="1"/>
  <c r="D160" i="1"/>
  <c r="S160" i="1"/>
  <c r="P160" i="1"/>
  <c r="J136" i="1"/>
  <c r="D136" i="1"/>
  <c r="S136" i="1"/>
  <c r="P136" i="1"/>
  <c r="J112" i="1"/>
  <c r="D112" i="1"/>
  <c r="S112" i="1"/>
  <c r="P112" i="1"/>
  <c r="J80" i="1"/>
  <c r="D80" i="1"/>
  <c r="S80" i="1"/>
  <c r="P80" i="1"/>
  <c r="J56" i="1"/>
  <c r="D56" i="1"/>
  <c r="S56" i="1"/>
  <c r="P56" i="1"/>
  <c r="J24" i="1"/>
  <c r="D24" i="1"/>
  <c r="S24" i="1"/>
  <c r="P24" i="1"/>
  <c r="M24" i="1"/>
  <c r="S230" i="1"/>
  <c r="P230" i="1"/>
  <c r="D230" i="1"/>
  <c r="J230" i="1"/>
  <c r="J222" i="1"/>
  <c r="D222" i="1"/>
  <c r="S222" i="1"/>
  <c r="P222" i="1"/>
  <c r="P214" i="1"/>
  <c r="J214" i="1"/>
  <c r="S214" i="1"/>
  <c r="D214" i="1"/>
  <c r="P206" i="1"/>
  <c r="S206" i="1"/>
  <c r="D206" i="1"/>
  <c r="J206" i="1"/>
  <c r="J198" i="1"/>
  <c r="P198" i="1"/>
  <c r="D198" i="1"/>
  <c r="S198" i="1"/>
  <c r="S190" i="1"/>
  <c r="P190" i="1"/>
  <c r="J190" i="1"/>
  <c r="D190" i="1"/>
  <c r="D182" i="1"/>
  <c r="P182" i="1"/>
  <c r="S182" i="1"/>
  <c r="P174" i="1"/>
  <c r="J174" i="1"/>
  <c r="D174" i="1"/>
  <c r="S174" i="1"/>
  <c r="P166" i="1"/>
  <c r="S166" i="1"/>
  <c r="D166" i="1"/>
  <c r="J166" i="1"/>
  <c r="J158" i="1"/>
  <c r="D158" i="1"/>
  <c r="P158" i="1"/>
  <c r="S158" i="1"/>
  <c r="P150" i="1"/>
  <c r="J150" i="1"/>
  <c r="D150" i="1"/>
  <c r="S150" i="1"/>
  <c r="S142" i="1"/>
  <c r="P142" i="1"/>
  <c r="D142" i="1"/>
  <c r="J142" i="1"/>
  <c r="J134" i="1"/>
  <c r="P134" i="1"/>
  <c r="D134" i="1"/>
  <c r="S134" i="1"/>
  <c r="P126" i="1"/>
  <c r="J126" i="1"/>
  <c r="S126" i="1"/>
  <c r="D118" i="1"/>
  <c r="S118" i="1"/>
  <c r="P118" i="1"/>
  <c r="J118" i="1"/>
  <c r="P110" i="1"/>
  <c r="J110" i="1"/>
  <c r="D110" i="1"/>
  <c r="S110" i="1"/>
  <c r="P102" i="1"/>
  <c r="J102" i="1"/>
  <c r="S102" i="1"/>
  <c r="D102" i="1"/>
  <c r="J94" i="1"/>
  <c r="D94" i="1"/>
  <c r="P94" i="1"/>
  <c r="S94" i="1"/>
  <c r="P86" i="1"/>
  <c r="J86" i="1"/>
  <c r="D86" i="1"/>
  <c r="S86" i="1"/>
  <c r="S78" i="1"/>
  <c r="P78" i="1"/>
  <c r="J78" i="1"/>
  <c r="D78" i="1"/>
  <c r="J70" i="1"/>
  <c r="P70" i="1"/>
  <c r="D70" i="1"/>
  <c r="S70" i="1"/>
  <c r="P62" i="1"/>
  <c r="J62" i="1"/>
  <c r="D62" i="1"/>
  <c r="D54" i="1"/>
  <c r="S54" i="1"/>
  <c r="P54" i="1"/>
  <c r="P46" i="1"/>
  <c r="J46" i="1"/>
  <c r="D46" i="1"/>
  <c r="S46" i="1"/>
  <c r="P38" i="1"/>
  <c r="J38" i="1"/>
  <c r="S38" i="1"/>
  <c r="D38" i="1"/>
  <c r="J30" i="1"/>
  <c r="D30" i="1"/>
  <c r="P30" i="1"/>
  <c r="S30" i="1"/>
  <c r="M30" i="1"/>
  <c r="P22" i="1"/>
  <c r="J22" i="1"/>
  <c r="D22" i="1"/>
  <c r="M22" i="1"/>
  <c r="S22" i="1"/>
  <c r="S14" i="1"/>
  <c r="P14" i="1"/>
  <c r="J14" i="1"/>
  <c r="D14" i="1"/>
  <c r="J6" i="1"/>
  <c r="P6" i="1"/>
  <c r="D6" i="1"/>
  <c r="S6" i="1"/>
  <c r="G230" i="1"/>
  <c r="G222" i="1"/>
  <c r="G214" i="1"/>
  <c r="G194" i="1"/>
  <c r="G184" i="1"/>
  <c r="G162" i="1"/>
  <c r="G120" i="1"/>
  <c r="G98" i="1"/>
  <c r="G88" i="1"/>
  <c r="G66" i="1"/>
  <c r="G56" i="1"/>
  <c r="G34" i="1"/>
  <c r="G24" i="1"/>
  <c r="M230" i="1"/>
  <c r="M219" i="1"/>
  <c r="M208" i="1"/>
  <c r="M198" i="1"/>
  <c r="M187" i="1"/>
  <c r="M174" i="1"/>
  <c r="M158" i="1"/>
  <c r="M142" i="1"/>
  <c r="M126" i="1"/>
  <c r="M110" i="1"/>
  <c r="M70" i="1"/>
  <c r="M47" i="1"/>
  <c r="M18" i="1"/>
  <c r="P210" i="1"/>
  <c r="P139" i="1"/>
  <c r="P52" i="1"/>
  <c r="S196" i="1"/>
  <c r="D194" i="1"/>
  <c r="J155" i="1"/>
  <c r="J228" i="1"/>
  <c r="D228" i="1"/>
  <c r="P228" i="1"/>
  <c r="S228" i="1"/>
  <c r="J172" i="1"/>
  <c r="D172" i="1"/>
  <c r="S172" i="1"/>
  <c r="P172" i="1"/>
  <c r="J116" i="1"/>
  <c r="S116" i="1"/>
  <c r="D116" i="1"/>
  <c r="J36" i="1"/>
  <c r="D36" i="1"/>
  <c r="S36" i="1"/>
  <c r="P36" i="1"/>
  <c r="J211" i="1"/>
  <c r="S211" i="1"/>
  <c r="D211" i="1"/>
  <c r="P211" i="1"/>
  <c r="G211" i="1"/>
  <c r="J226" i="1"/>
  <c r="D226" i="1"/>
  <c r="S226" i="1"/>
  <c r="J178" i="1"/>
  <c r="D178" i="1"/>
  <c r="M178" i="1"/>
  <c r="S178" i="1"/>
  <c r="J130" i="1"/>
  <c r="D130" i="1"/>
  <c r="M130" i="1"/>
  <c r="P130" i="1"/>
  <c r="J216" i="1"/>
  <c r="D216" i="1"/>
  <c r="S216" i="1"/>
  <c r="P216" i="1"/>
  <c r="J200" i="1"/>
  <c r="D200" i="1"/>
  <c r="S200" i="1"/>
  <c r="P200" i="1"/>
  <c r="J176" i="1"/>
  <c r="D176" i="1"/>
  <c r="S176" i="1"/>
  <c r="P176" i="1"/>
  <c r="J152" i="1"/>
  <c r="D152" i="1"/>
  <c r="S152" i="1"/>
  <c r="P152" i="1"/>
  <c r="J128" i="1"/>
  <c r="D128" i="1"/>
  <c r="S128" i="1"/>
  <c r="P128" i="1"/>
  <c r="J104" i="1"/>
  <c r="D104" i="1"/>
  <c r="S104" i="1"/>
  <c r="P104" i="1"/>
  <c r="J88" i="1"/>
  <c r="D88" i="1"/>
  <c r="S88" i="1"/>
  <c r="P88" i="1"/>
  <c r="J64" i="1"/>
  <c r="D64" i="1"/>
  <c r="S64" i="1"/>
  <c r="P64" i="1"/>
  <c r="J40" i="1"/>
  <c r="D40" i="1"/>
  <c r="S40" i="1"/>
  <c r="P40" i="1"/>
  <c r="M40" i="1"/>
  <c r="S4" i="1"/>
  <c r="S229" i="1"/>
  <c r="P229" i="1"/>
  <c r="J229" i="1"/>
  <c r="M229" i="1"/>
  <c r="D221" i="1"/>
  <c r="S221" i="1"/>
  <c r="P221" i="1"/>
  <c r="J221" i="1"/>
  <c r="M221" i="1"/>
  <c r="P213" i="1"/>
  <c r="J213" i="1"/>
  <c r="S213" i="1"/>
  <c r="D213" i="1"/>
  <c r="M213" i="1"/>
  <c r="P205" i="1"/>
  <c r="S205" i="1"/>
  <c r="D205" i="1"/>
  <c r="J205" i="1"/>
  <c r="M205" i="1"/>
  <c r="J197" i="1"/>
  <c r="P197" i="1"/>
  <c r="D197" i="1"/>
  <c r="S197" i="1"/>
  <c r="M197" i="1"/>
  <c r="S189" i="1"/>
  <c r="P189" i="1"/>
  <c r="J189" i="1"/>
  <c r="D189" i="1"/>
  <c r="M189" i="1"/>
  <c r="P181" i="1"/>
  <c r="S181" i="1"/>
  <c r="M181" i="1"/>
  <c r="D181" i="1"/>
  <c r="J181" i="1"/>
  <c r="P173" i="1"/>
  <c r="J173" i="1"/>
  <c r="D173" i="1"/>
  <c r="S173" i="1"/>
  <c r="M173" i="1"/>
  <c r="P165" i="1"/>
  <c r="J165" i="1"/>
  <c r="D165" i="1"/>
  <c r="M165" i="1"/>
  <c r="D157" i="1"/>
  <c r="P157" i="1"/>
  <c r="S157" i="1"/>
  <c r="J157" i="1"/>
  <c r="M157" i="1"/>
  <c r="P149" i="1"/>
  <c r="J149" i="1"/>
  <c r="D149" i="1"/>
  <c r="S149" i="1"/>
  <c r="M149" i="1"/>
  <c r="P141" i="1"/>
  <c r="S141" i="1"/>
  <c r="D141" i="1"/>
  <c r="J141" i="1"/>
  <c r="M141" i="1"/>
  <c r="J133" i="1"/>
  <c r="P133" i="1"/>
  <c r="D133" i="1"/>
  <c r="S133" i="1"/>
  <c r="M133" i="1"/>
  <c r="P125" i="1"/>
  <c r="J125" i="1"/>
  <c r="D125" i="1"/>
  <c r="M125" i="1"/>
  <c r="S125" i="1"/>
  <c r="S117" i="1"/>
  <c r="P117" i="1"/>
  <c r="J117" i="1"/>
  <c r="M117" i="1"/>
  <c r="D117" i="1"/>
  <c r="P109" i="1"/>
  <c r="J109" i="1"/>
  <c r="D109" i="1"/>
  <c r="S109" i="1"/>
  <c r="M109" i="1"/>
  <c r="P101" i="1"/>
  <c r="J101" i="1"/>
  <c r="S101" i="1"/>
  <c r="D101" i="1"/>
  <c r="M101" i="1"/>
  <c r="D93" i="1"/>
  <c r="P93" i="1"/>
  <c r="S93" i="1"/>
  <c r="M93" i="1"/>
  <c r="J93" i="1"/>
  <c r="P85" i="1"/>
  <c r="J85" i="1"/>
  <c r="D85" i="1"/>
  <c r="S85" i="1"/>
  <c r="M85" i="1"/>
  <c r="P77" i="1"/>
  <c r="J77" i="1"/>
  <c r="S77" i="1"/>
  <c r="D77" i="1"/>
  <c r="M77" i="1"/>
  <c r="J69" i="1"/>
  <c r="P69" i="1"/>
  <c r="D69" i="1"/>
  <c r="S69" i="1"/>
  <c r="M69" i="1"/>
  <c r="P61" i="1"/>
  <c r="J61" i="1"/>
  <c r="D61" i="1"/>
  <c r="M61" i="1"/>
  <c r="S61" i="1"/>
  <c r="S53" i="1"/>
  <c r="P53" i="1"/>
  <c r="M53" i="1"/>
  <c r="J53" i="1"/>
  <c r="P45" i="1"/>
  <c r="J45" i="1"/>
  <c r="D45" i="1"/>
  <c r="S45" i="1"/>
  <c r="M45" i="1"/>
  <c r="P37" i="1"/>
  <c r="J37" i="1"/>
  <c r="S37" i="1"/>
  <c r="D37" i="1"/>
  <c r="D29" i="1"/>
  <c r="P29" i="1"/>
  <c r="S29" i="1"/>
  <c r="M29" i="1"/>
  <c r="J29" i="1"/>
  <c r="P21" i="1"/>
  <c r="J21" i="1"/>
  <c r="D21" i="1"/>
  <c r="S21" i="1"/>
  <c r="M21" i="1"/>
  <c r="P13" i="1"/>
  <c r="J13" i="1"/>
  <c r="S13" i="1"/>
  <c r="M13" i="1"/>
  <c r="D13" i="1"/>
  <c r="J5" i="1"/>
  <c r="P5" i="1"/>
  <c r="D5" i="1"/>
  <c r="S5" i="1"/>
  <c r="G229" i="1"/>
  <c r="G221" i="1"/>
  <c r="G213" i="1"/>
  <c r="G204" i="1"/>
  <c r="G193" i="1"/>
  <c r="G182" i="1"/>
  <c r="G172" i="1"/>
  <c r="G161" i="1"/>
  <c r="G150" i="1"/>
  <c r="G140" i="1"/>
  <c r="G129" i="1"/>
  <c r="G118" i="1"/>
  <c r="G108" i="1"/>
  <c r="G97" i="1"/>
  <c r="G86" i="1"/>
  <c r="G76" i="1"/>
  <c r="G65" i="1"/>
  <c r="G54" i="1"/>
  <c r="G44" i="1"/>
  <c r="G33" i="1"/>
  <c r="G22" i="1"/>
  <c r="M4" i="1"/>
  <c r="M228" i="1"/>
  <c r="M218" i="1"/>
  <c r="M207" i="1"/>
  <c r="M196" i="1"/>
  <c r="M186" i="1"/>
  <c r="M172" i="1"/>
  <c r="M156" i="1"/>
  <c r="M140" i="1"/>
  <c r="M124" i="1"/>
  <c r="M108" i="1"/>
  <c r="M87" i="1"/>
  <c r="M64" i="1"/>
  <c r="M46" i="1"/>
  <c r="M17" i="1"/>
  <c r="P209" i="1"/>
  <c r="P138" i="1"/>
  <c r="P51" i="1"/>
  <c r="S188" i="1"/>
  <c r="D156" i="1"/>
  <c r="J107" i="1"/>
  <c r="P220" i="1"/>
  <c r="D220" i="1"/>
  <c r="D132" i="1"/>
  <c r="S132" i="1"/>
  <c r="J132" i="1"/>
  <c r="P132" i="1"/>
  <c r="J84" i="1"/>
  <c r="D84" i="1"/>
  <c r="S84" i="1"/>
  <c r="P84" i="1"/>
  <c r="M84" i="1"/>
  <c r="J60" i="1"/>
  <c r="D60" i="1"/>
  <c r="S60" i="1"/>
  <c r="P60" i="1"/>
  <c r="M60" i="1"/>
  <c r="S28" i="1"/>
  <c r="D28" i="1"/>
  <c r="J28" i="1"/>
  <c r="J20" i="1"/>
  <c r="D20" i="1"/>
  <c r="S20" i="1"/>
  <c r="M20" i="1"/>
  <c r="P20" i="1"/>
  <c r="J12" i="1"/>
  <c r="P12" i="1"/>
  <c r="S12" i="1"/>
  <c r="M12" i="1"/>
  <c r="D12" i="1"/>
  <c r="G228" i="1"/>
  <c r="G220" i="1"/>
  <c r="G212" i="1"/>
  <c r="G202" i="1"/>
  <c r="G192" i="1"/>
  <c r="G181" i="1"/>
  <c r="G170" i="1"/>
  <c r="G160" i="1"/>
  <c r="G149" i="1"/>
  <c r="G138" i="1"/>
  <c r="G128" i="1"/>
  <c r="G117" i="1"/>
  <c r="G106" i="1"/>
  <c r="G96" i="1"/>
  <c r="G85" i="1"/>
  <c r="G74" i="1"/>
  <c r="G64" i="1"/>
  <c r="G53" i="1"/>
  <c r="G42" i="1"/>
  <c r="G32" i="1"/>
  <c r="G21" i="1"/>
  <c r="G10" i="1"/>
  <c r="P4" i="1"/>
  <c r="M227" i="1"/>
  <c r="M216" i="1"/>
  <c r="M206" i="1"/>
  <c r="M195" i="1"/>
  <c r="M184" i="1"/>
  <c r="M168" i="1"/>
  <c r="M152" i="1"/>
  <c r="M136" i="1"/>
  <c r="M120" i="1"/>
  <c r="M104" i="1"/>
  <c r="M86" i="1"/>
  <c r="M63" i="1"/>
  <c r="M38" i="1"/>
  <c r="M14" i="1"/>
  <c r="P194" i="1"/>
  <c r="P116" i="1"/>
  <c r="P34" i="1"/>
  <c r="S165" i="1"/>
  <c r="D126" i="1"/>
  <c r="J54" i="1"/>
</calcChain>
</file>

<file path=xl/sharedStrings.xml><?xml version="1.0" encoding="utf-8"?>
<sst xmlns="http://schemas.openxmlformats.org/spreadsheetml/2006/main" count="175" uniqueCount="53">
  <si>
    <t>Time</t>
  </si>
  <si>
    <t>and</t>
  </si>
  <si>
    <t>Date</t>
  </si>
  <si>
    <t>Mean</t>
  </si>
  <si>
    <t>2300M01 - Zambezi River at Katima Mulilo Lat:-17.46666667 Long:24.3 Elev:940m</t>
  </si>
  <si>
    <t>2400M01 - Kwando River at Kongola Lat:-17.68333333 Long:23.26666667 Elev:980m</t>
  </si>
  <si>
    <t>2511M01 - Okavango River at Rundu Lat:-17.9 Long:19.75 Elev:1060m</t>
  </si>
  <si>
    <t>2512M04 - Okavango River at Mukwe Lat:-18.03333333 Long:21.41666667 Elev:1100m</t>
  </si>
  <si>
    <t>2811M01 - Kunene River at Ruacana Lat:-17.4 Long:14.2 Elev:800m</t>
  </si>
  <si>
    <r>
      <t>Flows(m</t>
    </r>
    <r>
      <rPr>
        <b/>
        <sz val="11"/>
        <color theme="1"/>
        <rFont val="Calibri"/>
        <family val="2"/>
      </rPr>
      <t>³</t>
    </r>
    <r>
      <rPr>
        <b/>
        <sz val="11"/>
        <color theme="1"/>
        <rFont val="Calibri"/>
        <family val="2"/>
        <scheme val="minor"/>
      </rPr>
      <t>/s)</t>
    </r>
  </si>
  <si>
    <t>Quality</t>
  </si>
  <si>
    <r>
      <t>Discharge (m</t>
    </r>
    <r>
      <rPr>
        <b/>
        <sz val="11"/>
        <color theme="1"/>
        <rFont val="Calibri"/>
        <family val="2"/>
      </rPr>
      <t>³/s</t>
    </r>
    <r>
      <rPr>
        <b/>
        <sz val="11"/>
        <color theme="1"/>
        <rFont val="Calibri"/>
        <family val="2"/>
        <scheme val="minor"/>
      </rPr>
      <t>)</t>
    </r>
  </si>
  <si>
    <t>Qual</t>
  </si>
  <si>
    <t>0484M01 - Orange River at Noordoewer Lat:-28.7 Long:17.61666667 Elev:210m</t>
  </si>
  <si>
    <t>Average</t>
  </si>
  <si>
    <t>mode</t>
  </si>
  <si>
    <t>median</t>
  </si>
  <si>
    <t>mean</t>
  </si>
  <si>
    <t>max</t>
  </si>
  <si>
    <t>min</t>
  </si>
  <si>
    <t/>
  </si>
  <si>
    <t>Flow</t>
  </si>
  <si>
    <t>Kunene - Ruacana</t>
  </si>
  <si>
    <t>Kwando - Kongola</t>
  </si>
  <si>
    <t>Okavango - Rundu</t>
  </si>
  <si>
    <t>Zambezi - Katima Mulilo</t>
  </si>
  <si>
    <t>Okavango - Mukwe</t>
  </si>
  <si>
    <t>Orange - Noordoewer</t>
  </si>
  <si>
    <t>Cuito - offtake Calc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</si>
  <si>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</si>
  <si>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</si>
  <si>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</si>
  <si>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</si>
  <si>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</si>
  <si>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</si>
  <si>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</si>
  <si>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</si>
  <si>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</si>
  <si>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</si>
  <si>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</si>
  <si>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</si>
  <si>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flow</t>
  </si>
  <si>
    <t>Cuito - Calculated from Rundu - Mukwe</t>
  </si>
  <si>
    <t>Cuito - Calculated  (Mukwe - Rundu)</t>
  </si>
  <si>
    <t>Zambezi</t>
  </si>
  <si>
    <t>Kunene</t>
  </si>
  <si>
    <t>Orange</t>
  </si>
  <si>
    <t>Okavango</t>
  </si>
  <si>
    <t xml:space="preserve">Cuito </t>
  </si>
  <si>
    <t xml:space="preserve"> Kwando</t>
  </si>
  <si>
    <t>average</t>
  </si>
  <si>
    <t>bi-yearly running 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</si>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</sst>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/yyyy"/>
    <numFmt numFmtId="166" formatCode="0.0000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16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0" xfId="0"/>
    <xf numFmtId="0" fontId="16" fillId="0" borderId="0" xfId="0" applyFont="1"/>
    <xf numFmtId="164" fontId="16" fillId="0" borderId="0" xfId="0" applyNumberFormat="1" applyFont="1"/>
    <xf numFmtId="166" fontId="0" fillId="33" borderId="0" xfId="0" applyNumberFormat="1" applyFill="1"/>
    <xf numFmtId="166" fontId="0" fillId="34" borderId="0" xfId="0" applyNumberFormat="1" applyFill="1"/>
    <xf numFmtId="0" fontId="0" fillId="34" borderId="0" xfId="0" applyFill="1"/>
    <xf numFmtId="0" fontId="0" fillId="34" borderId="0" xfId="0" applyFill="1" applyAlignment="1">
      <alignment horizontal="left"/>
    </xf>
    <xf numFmtId="164" fontId="19" fillId="0" borderId="0" xfId="0" applyNumberFormat="1" applyFont="1"/>
    <xf numFmtId="14" fontId="0" fillId="0" borderId="0" xfId="0" applyNumberFormat="1"/>
    <xf numFmtId="164" fontId="0" fillId="0" borderId="0" xfId="0" applyNumberFormat="1"/>
    <xf numFmtId="0" fontId="16" fillId="0" borderId="0" xfId="0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67" fontId="0" fillId="0" borderId="0" xfId="0" applyNumberFormat="1"/>
    <xf numFmtId="0" fontId="16" fillId="0" borderId="0" xfId="0" applyFont="1" applyAlignment="1">
      <alignment wrapText="1"/>
    </xf>
    <xf numFmtId="1" fontId="0" fillId="0" borderId="10" xfId="0" applyNumberFormat="1" applyBorder="1"/>
    <xf numFmtId="0" fontId="16" fillId="0" borderId="0" xfId="0" applyFont="1" applyAlignment="1">
      <alignment vertical="top" wrapText="1"/>
    </xf>
    <xf numFmtId="164" fontId="16" fillId="0" borderId="0" xfId="0" applyNumberFormat="1" applyFont="1" applyAlignment="1">
      <alignment wrapText="1"/>
    </xf>
    <xf numFmtId="1" fontId="0" fillId="33" borderId="0" xfId="0" applyNumberFormat="1" applyFill="1"/>
    <xf numFmtId="0" fontId="0" fillId="0" borderId="0" xfId="0" applyFont="1" applyAlignment="1">
      <alignment wrapText="1"/>
    </xf>
    <xf numFmtId="0" fontId="0" fillId="0" borderId="0" xfId="0" applyFont="1"/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top" wrapText="1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Kunene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19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710-4E52-ADE3-4AF0542E74D0}"/>
              </c:ext>
            </c:extLst>
          </c:dPt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flows'!$D$4:$D$235</c:f>
              <c:numCache>
                <c:formatCode>0.0000</c:formatCode>
                <c:ptCount val="232"/>
                <c:pt idx="0">
                  <c:v>262.35600000000005</c:v>
                </c:pt>
                <c:pt idx="1">
                  <c:v>328.9663157894737</c:v>
                </c:pt>
                <c:pt idx="2">
                  <c:v>469.14</c:v>
                </c:pt>
                <c:pt idx="3">
                  <c:v>589.29650000000015</c:v>
                </c:pt>
                <c:pt idx="4">
                  <c:v>310.70526315789482</c:v>
                </c:pt>
                <c:pt idx="5">
                  <c:v>145.28526315789475</c:v>
                </c:pt>
                <c:pt idx="6">
                  <c:v>111.3</c:v>
                </c:pt>
                <c:pt idx="7">
                  <c:v>92.337894736842102</c:v>
                </c:pt>
                <c:pt idx="8">
                  <c:v>72.209473684210522</c:v>
                </c:pt>
                <c:pt idx="9">
                  <c:v>53.688421052631583</c:v>
                </c:pt>
                <c:pt idx="10">
                  <c:v>65.729473684210518</c:v>
                </c:pt>
                <c:pt idx="11">
                  <c:v>164.87789473684211</c:v>
                </c:pt>
                <c:pt idx="12">
                  <c:v>262.35600000000005</c:v>
                </c:pt>
                <c:pt idx="13">
                  <c:v>328.9663157894737</c:v>
                </c:pt>
                <c:pt idx="14">
                  <c:v>469.14</c:v>
                </c:pt>
                <c:pt idx="15">
                  <c:v>589.29650000000015</c:v>
                </c:pt>
                <c:pt idx="16">
                  <c:v>310.70526315789482</c:v>
                </c:pt>
                <c:pt idx="17">
                  <c:v>145.28526315789475</c:v>
                </c:pt>
                <c:pt idx="18">
                  <c:v>111.3</c:v>
                </c:pt>
                <c:pt idx="19">
                  <c:v>92.337894736842102</c:v>
                </c:pt>
                <c:pt idx="20">
                  <c:v>72.209473684210522</c:v>
                </c:pt>
                <c:pt idx="21">
                  <c:v>53.688421052631583</c:v>
                </c:pt>
                <c:pt idx="22">
                  <c:v>65.729473684210518</c:v>
                </c:pt>
                <c:pt idx="23">
                  <c:v>164.87789473684211</c:v>
                </c:pt>
                <c:pt idx="24">
                  <c:v>262.35600000000005</c:v>
                </c:pt>
                <c:pt idx="25">
                  <c:v>328.9663157894737</c:v>
                </c:pt>
                <c:pt idx="26">
                  <c:v>469.14</c:v>
                </c:pt>
                <c:pt idx="27">
                  <c:v>589.29650000000015</c:v>
                </c:pt>
                <c:pt idx="28">
                  <c:v>310.70526315789482</c:v>
                </c:pt>
                <c:pt idx="29">
                  <c:v>145.28526315789475</c:v>
                </c:pt>
                <c:pt idx="30">
                  <c:v>111.3</c:v>
                </c:pt>
                <c:pt idx="31">
                  <c:v>92.337894736842102</c:v>
                </c:pt>
                <c:pt idx="32">
                  <c:v>72.209473684210522</c:v>
                </c:pt>
                <c:pt idx="33">
                  <c:v>53.688421052631583</c:v>
                </c:pt>
                <c:pt idx="34">
                  <c:v>65.729473684210518</c:v>
                </c:pt>
                <c:pt idx="35">
                  <c:v>164.87789473684211</c:v>
                </c:pt>
                <c:pt idx="36">
                  <c:v>262.35600000000005</c:v>
                </c:pt>
                <c:pt idx="37">
                  <c:v>328.9663157894737</c:v>
                </c:pt>
                <c:pt idx="38">
                  <c:v>469.14</c:v>
                </c:pt>
                <c:pt idx="39">
                  <c:v>589.29650000000015</c:v>
                </c:pt>
                <c:pt idx="40">
                  <c:v>310.70526315789482</c:v>
                </c:pt>
                <c:pt idx="41">
                  <c:v>145.28526315789475</c:v>
                </c:pt>
                <c:pt idx="42">
                  <c:v>111.3</c:v>
                </c:pt>
                <c:pt idx="43">
                  <c:v>92.337894736842102</c:v>
                </c:pt>
                <c:pt idx="44">
                  <c:v>72.209473684210522</c:v>
                </c:pt>
                <c:pt idx="45">
                  <c:v>53.688421052631583</c:v>
                </c:pt>
                <c:pt idx="46">
                  <c:v>65.729473684210518</c:v>
                </c:pt>
                <c:pt idx="47">
                  <c:v>164.87789473684211</c:v>
                </c:pt>
                <c:pt idx="48">
                  <c:v>262.35600000000005</c:v>
                </c:pt>
                <c:pt idx="49">
                  <c:v>328.9663157894737</c:v>
                </c:pt>
                <c:pt idx="50">
                  <c:v>469.14</c:v>
                </c:pt>
                <c:pt idx="51">
                  <c:v>589.29650000000015</c:v>
                </c:pt>
                <c:pt idx="52">
                  <c:v>310.70526315789482</c:v>
                </c:pt>
                <c:pt idx="53">
                  <c:v>145.28526315789475</c:v>
                </c:pt>
                <c:pt idx="54">
                  <c:v>111.3</c:v>
                </c:pt>
                <c:pt idx="55">
                  <c:v>92.337894736842102</c:v>
                </c:pt>
                <c:pt idx="56">
                  <c:v>72.209473684210522</c:v>
                </c:pt>
                <c:pt idx="57">
                  <c:v>53.688421052631583</c:v>
                </c:pt>
                <c:pt idx="58">
                  <c:v>65.729473684210518</c:v>
                </c:pt>
                <c:pt idx="59">
                  <c:v>164.87789473684211</c:v>
                </c:pt>
                <c:pt idx="60">
                  <c:v>262.35600000000005</c:v>
                </c:pt>
                <c:pt idx="61">
                  <c:v>328.9663157894737</c:v>
                </c:pt>
                <c:pt idx="62">
                  <c:v>469.14</c:v>
                </c:pt>
                <c:pt idx="63">
                  <c:v>589.29650000000015</c:v>
                </c:pt>
                <c:pt idx="64">
                  <c:v>310.70526315789482</c:v>
                </c:pt>
                <c:pt idx="65">
                  <c:v>145.28526315789475</c:v>
                </c:pt>
                <c:pt idx="66">
                  <c:v>111.3</c:v>
                </c:pt>
                <c:pt idx="67">
                  <c:v>92.337894736842102</c:v>
                </c:pt>
                <c:pt idx="68">
                  <c:v>72.209473684210522</c:v>
                </c:pt>
                <c:pt idx="69">
                  <c:v>53.688421052631583</c:v>
                </c:pt>
                <c:pt idx="70">
                  <c:v>65.729473684210518</c:v>
                </c:pt>
                <c:pt idx="71">
                  <c:v>164.87789473684211</c:v>
                </c:pt>
                <c:pt idx="72">
                  <c:v>262.35600000000005</c:v>
                </c:pt>
                <c:pt idx="73">
                  <c:v>328.9663157894737</c:v>
                </c:pt>
                <c:pt idx="74">
                  <c:v>469.14</c:v>
                </c:pt>
                <c:pt idx="75">
                  <c:v>589.29650000000015</c:v>
                </c:pt>
                <c:pt idx="76">
                  <c:v>310.70526315789482</c:v>
                </c:pt>
                <c:pt idx="77">
                  <c:v>145.28526315789475</c:v>
                </c:pt>
                <c:pt idx="78">
                  <c:v>111.3</c:v>
                </c:pt>
                <c:pt idx="79">
                  <c:v>92.337894736842102</c:v>
                </c:pt>
                <c:pt idx="80">
                  <c:v>72.209473684210522</c:v>
                </c:pt>
                <c:pt idx="81">
                  <c:v>53.688421052631583</c:v>
                </c:pt>
                <c:pt idx="82">
                  <c:v>65.729473684210518</c:v>
                </c:pt>
                <c:pt idx="83">
                  <c:v>164.87789473684211</c:v>
                </c:pt>
                <c:pt idx="84">
                  <c:v>262.35600000000005</c:v>
                </c:pt>
                <c:pt idx="85">
                  <c:v>328.9663157894737</c:v>
                </c:pt>
                <c:pt idx="86">
                  <c:v>469.14</c:v>
                </c:pt>
                <c:pt idx="87">
                  <c:v>589.29650000000015</c:v>
                </c:pt>
                <c:pt idx="88">
                  <c:v>310.70526315789482</c:v>
                </c:pt>
                <c:pt idx="89">
                  <c:v>145.28526315789475</c:v>
                </c:pt>
                <c:pt idx="90">
                  <c:v>111.3</c:v>
                </c:pt>
                <c:pt idx="91">
                  <c:v>92.337894736842102</c:v>
                </c:pt>
                <c:pt idx="92">
                  <c:v>72.209473684210522</c:v>
                </c:pt>
                <c:pt idx="93">
                  <c:v>53.688421052631583</c:v>
                </c:pt>
                <c:pt idx="94">
                  <c:v>65.729473684210518</c:v>
                </c:pt>
                <c:pt idx="95">
                  <c:v>164.87789473684211</c:v>
                </c:pt>
                <c:pt idx="96">
                  <c:v>262.35600000000005</c:v>
                </c:pt>
                <c:pt idx="97">
                  <c:v>328.9663157894737</c:v>
                </c:pt>
                <c:pt idx="98">
                  <c:v>469.14</c:v>
                </c:pt>
                <c:pt idx="99">
                  <c:v>589.29650000000015</c:v>
                </c:pt>
                <c:pt idx="100">
                  <c:v>310.70526315789482</c:v>
                </c:pt>
                <c:pt idx="101">
                  <c:v>145.28526315789475</c:v>
                </c:pt>
                <c:pt idx="102">
                  <c:v>111.3</c:v>
                </c:pt>
                <c:pt idx="103">
                  <c:v>92.337894736842102</c:v>
                </c:pt>
                <c:pt idx="104">
                  <c:v>72.209473684210522</c:v>
                </c:pt>
                <c:pt idx="105">
                  <c:v>53.688421052631583</c:v>
                </c:pt>
                <c:pt idx="106">
                  <c:v>65.729473684210518</c:v>
                </c:pt>
                <c:pt idx="107">
                  <c:v>164.87789473684211</c:v>
                </c:pt>
                <c:pt idx="108">
                  <c:v>262.35600000000005</c:v>
                </c:pt>
                <c:pt idx="109">
                  <c:v>328.9663157894737</c:v>
                </c:pt>
                <c:pt idx="110">
                  <c:v>469.14</c:v>
                </c:pt>
                <c:pt idx="111">
                  <c:v>589.29650000000015</c:v>
                </c:pt>
                <c:pt idx="112">
                  <c:v>310.70526315789482</c:v>
                </c:pt>
                <c:pt idx="113">
                  <c:v>145.28526315789475</c:v>
                </c:pt>
                <c:pt idx="114">
                  <c:v>111.3</c:v>
                </c:pt>
                <c:pt idx="115">
                  <c:v>92.337894736842102</c:v>
                </c:pt>
                <c:pt idx="116">
                  <c:v>72.209473684210522</c:v>
                </c:pt>
                <c:pt idx="117">
                  <c:v>53.688421052631583</c:v>
                </c:pt>
                <c:pt idx="118">
                  <c:v>65.729473684210518</c:v>
                </c:pt>
                <c:pt idx="119">
                  <c:v>164.87789473684211</c:v>
                </c:pt>
                <c:pt idx="120">
                  <c:v>262.35600000000005</c:v>
                </c:pt>
                <c:pt idx="121">
                  <c:v>328.9663157894737</c:v>
                </c:pt>
                <c:pt idx="122">
                  <c:v>469.14</c:v>
                </c:pt>
                <c:pt idx="123">
                  <c:v>589.29650000000015</c:v>
                </c:pt>
                <c:pt idx="124">
                  <c:v>310.70526315789482</c:v>
                </c:pt>
                <c:pt idx="125">
                  <c:v>145.28526315789475</c:v>
                </c:pt>
                <c:pt idx="126">
                  <c:v>111.3</c:v>
                </c:pt>
                <c:pt idx="127">
                  <c:v>92.337894736842102</c:v>
                </c:pt>
                <c:pt idx="128">
                  <c:v>72.209473684210522</c:v>
                </c:pt>
                <c:pt idx="129">
                  <c:v>53.688421052631583</c:v>
                </c:pt>
                <c:pt idx="130">
                  <c:v>65.729473684210518</c:v>
                </c:pt>
                <c:pt idx="131">
                  <c:v>164.87789473684211</c:v>
                </c:pt>
                <c:pt idx="132">
                  <c:v>262.35600000000005</c:v>
                </c:pt>
                <c:pt idx="133">
                  <c:v>328.9663157894737</c:v>
                </c:pt>
                <c:pt idx="134">
                  <c:v>469.14</c:v>
                </c:pt>
                <c:pt idx="135">
                  <c:v>589.29650000000015</c:v>
                </c:pt>
                <c:pt idx="136">
                  <c:v>310.70526315789482</c:v>
                </c:pt>
                <c:pt idx="137">
                  <c:v>145.28526315789475</c:v>
                </c:pt>
                <c:pt idx="138">
                  <c:v>111.3</c:v>
                </c:pt>
                <c:pt idx="139">
                  <c:v>92.337894736842102</c:v>
                </c:pt>
                <c:pt idx="140">
                  <c:v>72.209473684210522</c:v>
                </c:pt>
                <c:pt idx="141">
                  <c:v>53.688421052631583</c:v>
                </c:pt>
                <c:pt idx="142">
                  <c:v>65.729473684210518</c:v>
                </c:pt>
                <c:pt idx="143">
                  <c:v>164.87789473684211</c:v>
                </c:pt>
                <c:pt idx="144">
                  <c:v>262.35600000000005</c:v>
                </c:pt>
                <c:pt idx="145">
                  <c:v>328.9663157894737</c:v>
                </c:pt>
                <c:pt idx="146">
                  <c:v>469.14</c:v>
                </c:pt>
                <c:pt idx="147">
                  <c:v>589.29650000000015</c:v>
                </c:pt>
                <c:pt idx="148">
                  <c:v>310.70526315789482</c:v>
                </c:pt>
                <c:pt idx="149">
                  <c:v>145.28526315789475</c:v>
                </c:pt>
                <c:pt idx="150">
                  <c:v>111.3</c:v>
                </c:pt>
                <c:pt idx="151">
                  <c:v>92.337894736842102</c:v>
                </c:pt>
                <c:pt idx="152">
                  <c:v>72.209473684210522</c:v>
                </c:pt>
                <c:pt idx="153">
                  <c:v>53.688421052631583</c:v>
                </c:pt>
                <c:pt idx="154">
                  <c:v>65.729473684210518</c:v>
                </c:pt>
                <c:pt idx="155">
                  <c:v>164.87789473684211</c:v>
                </c:pt>
                <c:pt idx="156">
                  <c:v>262.35600000000005</c:v>
                </c:pt>
                <c:pt idx="157">
                  <c:v>328.9663157894737</c:v>
                </c:pt>
                <c:pt idx="158">
                  <c:v>469.14</c:v>
                </c:pt>
                <c:pt idx="159">
                  <c:v>589.29650000000015</c:v>
                </c:pt>
                <c:pt idx="160">
                  <c:v>310.70526315789482</c:v>
                </c:pt>
                <c:pt idx="161">
                  <c:v>145.28526315789475</c:v>
                </c:pt>
                <c:pt idx="162">
                  <c:v>111.3</c:v>
                </c:pt>
                <c:pt idx="163">
                  <c:v>92.337894736842102</c:v>
                </c:pt>
                <c:pt idx="164">
                  <c:v>72.209473684210522</c:v>
                </c:pt>
                <c:pt idx="165">
                  <c:v>53.688421052631583</c:v>
                </c:pt>
                <c:pt idx="166">
                  <c:v>65.729473684210518</c:v>
                </c:pt>
                <c:pt idx="167">
                  <c:v>164.87789473684211</c:v>
                </c:pt>
                <c:pt idx="168">
                  <c:v>262.35600000000005</c:v>
                </c:pt>
                <c:pt idx="169">
                  <c:v>328.9663157894737</c:v>
                </c:pt>
                <c:pt idx="170">
                  <c:v>469.14</c:v>
                </c:pt>
                <c:pt idx="171">
                  <c:v>589.29650000000015</c:v>
                </c:pt>
                <c:pt idx="172">
                  <c:v>310.70526315789482</c:v>
                </c:pt>
                <c:pt idx="173">
                  <c:v>145.28526315789475</c:v>
                </c:pt>
                <c:pt idx="174">
                  <c:v>111.3</c:v>
                </c:pt>
                <c:pt idx="175">
                  <c:v>92.337894736842102</c:v>
                </c:pt>
                <c:pt idx="176">
                  <c:v>72.209473684210522</c:v>
                </c:pt>
                <c:pt idx="177">
                  <c:v>53.688421052631583</c:v>
                </c:pt>
                <c:pt idx="178">
                  <c:v>65.729473684210518</c:v>
                </c:pt>
                <c:pt idx="179">
                  <c:v>164.87789473684211</c:v>
                </c:pt>
                <c:pt idx="180">
                  <c:v>262.35600000000005</c:v>
                </c:pt>
                <c:pt idx="181">
                  <c:v>328.9663157894737</c:v>
                </c:pt>
                <c:pt idx="182">
                  <c:v>469.14</c:v>
                </c:pt>
                <c:pt idx="183">
                  <c:v>589.29650000000015</c:v>
                </c:pt>
                <c:pt idx="184">
                  <c:v>310.70526315789482</c:v>
                </c:pt>
                <c:pt idx="185">
                  <c:v>145.28526315789475</c:v>
                </c:pt>
                <c:pt idx="186">
                  <c:v>111.3</c:v>
                </c:pt>
                <c:pt idx="187">
                  <c:v>92.337894736842102</c:v>
                </c:pt>
                <c:pt idx="188">
                  <c:v>72.209473684210522</c:v>
                </c:pt>
                <c:pt idx="189">
                  <c:v>53.688421052631583</c:v>
                </c:pt>
                <c:pt idx="190">
                  <c:v>65.729473684210518</c:v>
                </c:pt>
                <c:pt idx="191">
                  <c:v>164.87789473684211</c:v>
                </c:pt>
                <c:pt idx="192">
                  <c:v>262.35600000000005</c:v>
                </c:pt>
                <c:pt idx="193">
                  <c:v>328.9663157894737</c:v>
                </c:pt>
                <c:pt idx="194">
                  <c:v>469.14</c:v>
                </c:pt>
                <c:pt idx="195">
                  <c:v>589.29650000000015</c:v>
                </c:pt>
                <c:pt idx="196">
                  <c:v>310.70526315789482</c:v>
                </c:pt>
                <c:pt idx="197">
                  <c:v>145.28526315789475</c:v>
                </c:pt>
                <c:pt idx="198">
                  <c:v>111.3</c:v>
                </c:pt>
                <c:pt idx="199">
                  <c:v>92.337894736842102</c:v>
                </c:pt>
                <c:pt idx="200">
                  <c:v>72.209473684210522</c:v>
                </c:pt>
                <c:pt idx="201">
                  <c:v>53.688421052631583</c:v>
                </c:pt>
                <c:pt idx="202">
                  <c:v>65.729473684210518</c:v>
                </c:pt>
                <c:pt idx="203">
                  <c:v>164.87789473684211</c:v>
                </c:pt>
                <c:pt idx="204">
                  <c:v>262.35600000000005</c:v>
                </c:pt>
                <c:pt idx="205">
                  <c:v>328.9663157894737</c:v>
                </c:pt>
                <c:pt idx="206">
                  <c:v>469.14</c:v>
                </c:pt>
                <c:pt idx="207">
                  <c:v>589.29650000000015</c:v>
                </c:pt>
                <c:pt idx="208">
                  <c:v>310.70526315789482</c:v>
                </c:pt>
                <c:pt idx="209">
                  <c:v>145.28526315789475</c:v>
                </c:pt>
                <c:pt idx="210">
                  <c:v>111.3</c:v>
                </c:pt>
                <c:pt idx="211">
                  <c:v>92.337894736842102</c:v>
                </c:pt>
                <c:pt idx="212">
                  <c:v>72.209473684210522</c:v>
                </c:pt>
                <c:pt idx="213">
                  <c:v>53.688421052631583</c:v>
                </c:pt>
                <c:pt idx="214">
                  <c:v>65.729473684210518</c:v>
                </c:pt>
                <c:pt idx="215">
                  <c:v>164.87789473684211</c:v>
                </c:pt>
                <c:pt idx="216">
                  <c:v>262.35600000000005</c:v>
                </c:pt>
                <c:pt idx="217">
                  <c:v>328.9663157894737</c:v>
                </c:pt>
                <c:pt idx="218">
                  <c:v>469.14</c:v>
                </c:pt>
                <c:pt idx="219">
                  <c:v>589.29650000000015</c:v>
                </c:pt>
                <c:pt idx="220">
                  <c:v>310.70526315789482</c:v>
                </c:pt>
                <c:pt idx="221">
                  <c:v>145.28526315789475</c:v>
                </c:pt>
                <c:pt idx="222">
                  <c:v>111.3</c:v>
                </c:pt>
                <c:pt idx="223">
                  <c:v>92.337894736842102</c:v>
                </c:pt>
                <c:pt idx="224">
                  <c:v>72.209473684210522</c:v>
                </c:pt>
                <c:pt idx="225">
                  <c:v>53.688421052631583</c:v>
                </c:pt>
                <c:pt idx="226">
                  <c:v>65.729473684210518</c:v>
                </c:pt>
                <c:pt idx="227">
                  <c:v>164.87789473684211</c:v>
                </c:pt>
                <c:pt idx="228">
                  <c:v>262.35600000000005</c:v>
                </c:pt>
                <c:pt idx="229">
                  <c:v>328.9663157894737</c:v>
                </c:pt>
                <c:pt idx="230">
                  <c:v>469.14</c:v>
                </c:pt>
                <c:pt idx="231">
                  <c:v>589.29650000000015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0-4E52-ADE3-4AF0542E74D0}"/>
            </c:ext>
          </c:extLst>
        </c:ser>
        <c:ser>
          <c:idx val="0"/>
          <c:order val="1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flows'!$C$4:$C$235</c:f>
              <c:numCache>
                <c:formatCode>0.0000</c:formatCode>
                <c:ptCount val="232"/>
                <c:pt idx="0">
                  <c:v>73.62</c:v>
                </c:pt>
                <c:pt idx="1">
                  <c:v>301.32</c:v>
                </c:pt>
                <c:pt idx="2">
                  <c:v>407.18</c:v>
                </c:pt>
                <c:pt idx="3">
                  <c:v>897.77</c:v>
                </c:pt>
                <c:pt idx="4">
                  <c:v>510.48</c:v>
                </c:pt>
                <c:pt idx="5">
                  <c:v>197.73</c:v>
                </c:pt>
                <c:pt idx="6">
                  <c:v>140.96</c:v>
                </c:pt>
                <c:pt idx="7">
                  <c:v>111.9</c:v>
                </c:pt>
                <c:pt idx="8">
                  <c:v>90.49</c:v>
                </c:pt>
                <c:pt idx="9">
                  <c:v>71.44</c:v>
                </c:pt>
                <c:pt idx="10">
                  <c:v>63.27</c:v>
                </c:pt>
                <c:pt idx="11">
                  <c:v>85.36</c:v>
                </c:pt>
                <c:pt idx="12">
                  <c:v>108.15</c:v>
                </c:pt>
                <c:pt idx="13">
                  <c:v>179.88</c:v>
                </c:pt>
                <c:pt idx="14">
                  <c:v>451.26</c:v>
                </c:pt>
                <c:pt idx="15">
                  <c:v>852.61</c:v>
                </c:pt>
                <c:pt idx="16">
                  <c:v>326.05</c:v>
                </c:pt>
                <c:pt idx="17">
                  <c:v>159.09</c:v>
                </c:pt>
                <c:pt idx="18">
                  <c:v>116.61</c:v>
                </c:pt>
                <c:pt idx="19">
                  <c:v>87.66</c:v>
                </c:pt>
                <c:pt idx="20">
                  <c:v>70.959999999999994</c:v>
                </c:pt>
                <c:pt idx="21">
                  <c:v>58.84</c:v>
                </c:pt>
                <c:pt idx="22">
                  <c:v>74.12</c:v>
                </c:pt>
                <c:pt idx="23">
                  <c:v>132.74</c:v>
                </c:pt>
                <c:pt idx="24">
                  <c:v>158.97999999999999</c:v>
                </c:pt>
                <c:pt idx="25">
                  <c:v>438.98</c:v>
                </c:pt>
                <c:pt idx="26">
                  <c:v>549.44000000000005</c:v>
                </c:pt>
                <c:pt idx="27">
                  <c:v>377.73</c:v>
                </c:pt>
                <c:pt idx="28">
                  <c:v>305.37</c:v>
                </c:pt>
                <c:pt idx="29">
                  <c:v>181.16</c:v>
                </c:pt>
                <c:pt idx="30">
                  <c:v>164.24</c:v>
                </c:pt>
                <c:pt idx="31">
                  <c:v>143.97</c:v>
                </c:pt>
                <c:pt idx="32">
                  <c:v>105.05</c:v>
                </c:pt>
                <c:pt idx="33">
                  <c:v>38.26</c:v>
                </c:pt>
                <c:pt idx="34">
                  <c:v>87.06</c:v>
                </c:pt>
                <c:pt idx="35">
                  <c:v>188.53</c:v>
                </c:pt>
                <c:pt idx="36">
                  <c:v>579.48</c:v>
                </c:pt>
                <c:pt idx="37">
                  <c:v>1072.0899999999999</c:v>
                </c:pt>
                <c:pt idx="38">
                  <c:v>651.54</c:v>
                </c:pt>
                <c:pt idx="39">
                  <c:v>453.67</c:v>
                </c:pt>
                <c:pt idx="40">
                  <c:v>328.25</c:v>
                </c:pt>
                <c:pt idx="41">
                  <c:v>189.18</c:v>
                </c:pt>
                <c:pt idx="42">
                  <c:v>111.33</c:v>
                </c:pt>
                <c:pt idx="43">
                  <c:v>130.63999999999999</c:v>
                </c:pt>
                <c:pt idx="44">
                  <c:v>133.31</c:v>
                </c:pt>
                <c:pt idx="45">
                  <c:v>119.7</c:v>
                </c:pt>
                <c:pt idx="46">
                  <c:v>152.99</c:v>
                </c:pt>
                <c:pt idx="47">
                  <c:v>249.18</c:v>
                </c:pt>
                <c:pt idx="48">
                  <c:v>232.77</c:v>
                </c:pt>
                <c:pt idx="49">
                  <c:v>384.15</c:v>
                </c:pt>
                <c:pt idx="50">
                  <c:v>424.02</c:v>
                </c:pt>
                <c:pt idx="51">
                  <c:v>562.11</c:v>
                </c:pt>
                <c:pt idx="52">
                  <c:v>227.67</c:v>
                </c:pt>
                <c:pt idx="53">
                  <c:v>131.52000000000001</c:v>
                </c:pt>
                <c:pt idx="54">
                  <c:v>122.82</c:v>
                </c:pt>
                <c:pt idx="55">
                  <c:v>122.5</c:v>
                </c:pt>
                <c:pt idx="56">
                  <c:v>119.46</c:v>
                </c:pt>
                <c:pt idx="57">
                  <c:v>114.91</c:v>
                </c:pt>
                <c:pt idx="58">
                  <c:v>130.43</c:v>
                </c:pt>
                <c:pt idx="59">
                  <c:v>134.96</c:v>
                </c:pt>
                <c:pt idx="60">
                  <c:v>167.31</c:v>
                </c:pt>
                <c:pt idx="61">
                  <c:v>116.17</c:v>
                </c:pt>
                <c:pt idx="62">
                  <c:v>176.26</c:v>
                </c:pt>
                <c:pt idx="63">
                  <c:v>535.32000000000005</c:v>
                </c:pt>
                <c:pt idx="64">
                  <c:v>416.33</c:v>
                </c:pt>
                <c:pt idx="65">
                  <c:v>145.41</c:v>
                </c:pt>
                <c:pt idx="66">
                  <c:v>105.24</c:v>
                </c:pt>
                <c:pt idx="67">
                  <c:v>80.81</c:v>
                </c:pt>
                <c:pt idx="68">
                  <c:v>63.15</c:v>
                </c:pt>
                <c:pt idx="69">
                  <c:v>58.4</c:v>
                </c:pt>
                <c:pt idx="70">
                  <c:v>101.93</c:v>
                </c:pt>
                <c:pt idx="71">
                  <c:v>353.85</c:v>
                </c:pt>
                <c:pt idx="72">
                  <c:v>545.16</c:v>
                </c:pt>
                <c:pt idx="73">
                  <c:v>574</c:v>
                </c:pt>
                <c:pt idx="74">
                  <c:v>535.72</c:v>
                </c:pt>
                <c:pt idx="75">
                  <c:v>561.94000000000005</c:v>
                </c:pt>
                <c:pt idx="76">
                  <c:v>355.27</c:v>
                </c:pt>
                <c:pt idx="77">
                  <c:v>215.6</c:v>
                </c:pt>
                <c:pt idx="78">
                  <c:v>179.18</c:v>
                </c:pt>
                <c:pt idx="79">
                  <c:v>149.59</c:v>
                </c:pt>
                <c:pt idx="80">
                  <c:v>108.06</c:v>
                </c:pt>
                <c:pt idx="81">
                  <c:v>35.79</c:v>
                </c:pt>
                <c:pt idx="82">
                  <c:v>37.39</c:v>
                </c:pt>
                <c:pt idx="83">
                  <c:v>72.349999999999994</c:v>
                </c:pt>
                <c:pt idx="84">
                  <c:v>47.49</c:v>
                </c:pt>
                <c:pt idx="85">
                  <c:v>228.9</c:v>
                </c:pt>
                <c:pt idx="86">
                  <c:v>739.91</c:v>
                </c:pt>
                <c:pt idx="87">
                  <c:v>443.43</c:v>
                </c:pt>
                <c:pt idx="88">
                  <c:v>265.82</c:v>
                </c:pt>
                <c:pt idx="89">
                  <c:v>110.51</c:v>
                </c:pt>
                <c:pt idx="90">
                  <c:v>76.33</c:v>
                </c:pt>
                <c:pt idx="91">
                  <c:v>77.8</c:v>
                </c:pt>
                <c:pt idx="92">
                  <c:v>50.85</c:v>
                </c:pt>
                <c:pt idx="93">
                  <c:v>34.11</c:v>
                </c:pt>
                <c:pt idx="94">
                  <c:v>37.29</c:v>
                </c:pt>
                <c:pt idx="95">
                  <c:v>180.42</c:v>
                </c:pt>
                <c:pt idx="96">
                  <c:v>392.57</c:v>
                </c:pt>
                <c:pt idx="97">
                  <c:v>234.1</c:v>
                </c:pt>
                <c:pt idx="98">
                  <c:v>676.09</c:v>
                </c:pt>
                <c:pt idx="99">
                  <c:v>464.06</c:v>
                </c:pt>
                <c:pt idx="100">
                  <c:v>275.60000000000002</c:v>
                </c:pt>
                <c:pt idx="101">
                  <c:v>180.07</c:v>
                </c:pt>
                <c:pt idx="102">
                  <c:v>123.27</c:v>
                </c:pt>
                <c:pt idx="103">
                  <c:v>61.88</c:v>
                </c:pt>
                <c:pt idx="104">
                  <c:v>28.14</c:v>
                </c:pt>
                <c:pt idx="105">
                  <c:v>25.34</c:v>
                </c:pt>
                <c:pt idx="106">
                  <c:v>35.03</c:v>
                </c:pt>
                <c:pt idx="107">
                  <c:v>43.2</c:v>
                </c:pt>
                <c:pt idx="108">
                  <c:v>190.71</c:v>
                </c:pt>
                <c:pt idx="109">
                  <c:v>287.13</c:v>
                </c:pt>
                <c:pt idx="110">
                  <c:v>456.5</c:v>
                </c:pt>
                <c:pt idx="111">
                  <c:v>830.99</c:v>
                </c:pt>
                <c:pt idx="112">
                  <c:v>456.26</c:v>
                </c:pt>
                <c:pt idx="113">
                  <c:v>173.53</c:v>
                </c:pt>
                <c:pt idx="114">
                  <c:v>106.63</c:v>
                </c:pt>
                <c:pt idx="115">
                  <c:v>80.19</c:v>
                </c:pt>
                <c:pt idx="116">
                  <c:v>36.92</c:v>
                </c:pt>
                <c:pt idx="117">
                  <c:v>32.46</c:v>
                </c:pt>
                <c:pt idx="118">
                  <c:v>22.08</c:v>
                </c:pt>
                <c:pt idx="119">
                  <c:v>169.6</c:v>
                </c:pt>
                <c:pt idx="120">
                  <c:v>597.54</c:v>
                </c:pt>
                <c:pt idx="121">
                  <c:v>594.9</c:v>
                </c:pt>
                <c:pt idx="122">
                  <c:v>1433.62</c:v>
                </c:pt>
                <c:pt idx="123">
                  <c:v>1403.13</c:v>
                </c:pt>
                <c:pt idx="124">
                  <c:v>920.33</c:v>
                </c:pt>
                <c:pt idx="125">
                  <c:v>311.79000000000002</c:v>
                </c:pt>
                <c:pt idx="126">
                  <c:v>207.79</c:v>
                </c:pt>
                <c:pt idx="127">
                  <c:v>143.22999999999999</c:v>
                </c:pt>
                <c:pt idx="128">
                  <c:v>93.09</c:v>
                </c:pt>
                <c:pt idx="129">
                  <c:v>51.59</c:v>
                </c:pt>
                <c:pt idx="130">
                  <c:v>60.46</c:v>
                </c:pt>
                <c:pt idx="131">
                  <c:v>242.6</c:v>
                </c:pt>
                <c:pt idx="132">
                  <c:v>242.25</c:v>
                </c:pt>
                <c:pt idx="133">
                  <c:v>324.98</c:v>
                </c:pt>
                <c:pt idx="134">
                  <c:v>460.27</c:v>
                </c:pt>
                <c:pt idx="135">
                  <c:v>509.83</c:v>
                </c:pt>
                <c:pt idx="136">
                  <c:v>176.5</c:v>
                </c:pt>
                <c:pt idx="137">
                  <c:v>101.27</c:v>
                </c:pt>
                <c:pt idx="138">
                  <c:v>73.77</c:v>
                </c:pt>
                <c:pt idx="139">
                  <c:v>71.12</c:v>
                </c:pt>
                <c:pt idx="140">
                  <c:v>71.069999999999993</c:v>
                </c:pt>
                <c:pt idx="141">
                  <c:v>52.73</c:v>
                </c:pt>
                <c:pt idx="142">
                  <c:v>60.16</c:v>
                </c:pt>
                <c:pt idx="143">
                  <c:v>153.04</c:v>
                </c:pt>
                <c:pt idx="144">
                  <c:v>181.38</c:v>
                </c:pt>
                <c:pt idx="145">
                  <c:v>152.11000000000001</c:v>
                </c:pt>
                <c:pt idx="146">
                  <c:v>185.27</c:v>
                </c:pt>
                <c:pt idx="147">
                  <c:v>258.85000000000002</c:v>
                </c:pt>
                <c:pt idx="148">
                  <c:v>113.56</c:v>
                </c:pt>
                <c:pt idx="149">
                  <c:v>88.9</c:v>
                </c:pt>
                <c:pt idx="150">
                  <c:v>78.75</c:v>
                </c:pt>
                <c:pt idx="151">
                  <c:v>73.31</c:v>
                </c:pt>
                <c:pt idx="152">
                  <c:v>72.180000000000007</c:v>
                </c:pt>
                <c:pt idx="153">
                  <c:v>56.55</c:v>
                </c:pt>
                <c:pt idx="154">
                  <c:v>64.150000000000006</c:v>
                </c:pt>
                <c:pt idx="155">
                  <c:v>232.33</c:v>
                </c:pt>
                <c:pt idx="156">
                  <c:v>167.04</c:v>
                </c:pt>
                <c:pt idx="157">
                  <c:v>142.57</c:v>
                </c:pt>
                <c:pt idx="158">
                  <c:v>201.9</c:v>
                </c:pt>
                <c:pt idx="159">
                  <c:v>543.94000000000005</c:v>
                </c:pt>
                <c:pt idx="160">
                  <c:v>291.98</c:v>
                </c:pt>
                <c:pt idx="161">
                  <c:v>138.65</c:v>
                </c:pt>
                <c:pt idx="162">
                  <c:v>112.02</c:v>
                </c:pt>
                <c:pt idx="163">
                  <c:v>104.23</c:v>
                </c:pt>
                <c:pt idx="164">
                  <c:v>87.94</c:v>
                </c:pt>
                <c:pt idx="165">
                  <c:v>70.38</c:v>
                </c:pt>
                <c:pt idx="166">
                  <c:v>82.43</c:v>
                </c:pt>
                <c:pt idx="167">
                  <c:v>427.63</c:v>
                </c:pt>
                <c:pt idx="168">
                  <c:v>213.08</c:v>
                </c:pt>
                <c:pt idx="169">
                  <c:v>183.43</c:v>
                </c:pt>
                <c:pt idx="170">
                  <c:v>194.6</c:v>
                </c:pt>
                <c:pt idx="171">
                  <c:v>266.02999999999997</c:v>
                </c:pt>
                <c:pt idx="172">
                  <c:v>136.88</c:v>
                </c:pt>
                <c:pt idx="173">
                  <c:v>92.55</c:v>
                </c:pt>
                <c:pt idx="174">
                  <c:v>74.66</c:v>
                </c:pt>
                <c:pt idx="175">
                  <c:v>61.56</c:v>
                </c:pt>
                <c:pt idx="176">
                  <c:v>64.2</c:v>
                </c:pt>
                <c:pt idx="177">
                  <c:v>55.55</c:v>
                </c:pt>
                <c:pt idx="178">
                  <c:v>69.349999999999994</c:v>
                </c:pt>
                <c:pt idx="179">
                  <c:v>84.6</c:v>
                </c:pt>
                <c:pt idx="180">
                  <c:v>433.93</c:v>
                </c:pt>
                <c:pt idx="181">
                  <c:v>403.35</c:v>
                </c:pt>
                <c:pt idx="182">
                  <c:v>625</c:v>
                </c:pt>
                <c:pt idx="183">
                  <c:v>538.03</c:v>
                </c:pt>
                <c:pt idx="184">
                  <c:v>212.93</c:v>
                </c:pt>
                <c:pt idx="185">
                  <c:v>117.7</c:v>
                </c:pt>
                <c:pt idx="186">
                  <c:v>92.73</c:v>
                </c:pt>
                <c:pt idx="187">
                  <c:v>97.24</c:v>
                </c:pt>
                <c:pt idx="188">
                  <c:v>66.69</c:v>
                </c:pt>
                <c:pt idx="189">
                  <c:v>61.24</c:v>
                </c:pt>
                <c:pt idx="190">
                  <c:v>81.790000000000006</c:v>
                </c:pt>
                <c:pt idx="191">
                  <c:v>182.84</c:v>
                </c:pt>
                <c:pt idx="192">
                  <c:v>286.48</c:v>
                </c:pt>
                <c:pt idx="193">
                  <c:v>225.61</c:v>
                </c:pt>
                <c:pt idx="194">
                  <c:v>375.58</c:v>
                </c:pt>
                <c:pt idx="195">
                  <c:v>272.85000000000002</c:v>
                </c:pt>
                <c:pt idx="196">
                  <c:v>141.41999999999999</c:v>
                </c:pt>
                <c:pt idx="197">
                  <c:v>89.33</c:v>
                </c:pt>
                <c:pt idx="198">
                  <c:v>75.77</c:v>
                </c:pt>
                <c:pt idx="199">
                  <c:v>33.82</c:v>
                </c:pt>
                <c:pt idx="200">
                  <c:v>15.32</c:v>
                </c:pt>
                <c:pt idx="201">
                  <c:v>10.19</c:v>
                </c:pt>
                <c:pt idx="202">
                  <c:v>14.91</c:v>
                </c:pt>
                <c:pt idx="203">
                  <c:v>30.01</c:v>
                </c:pt>
                <c:pt idx="204">
                  <c:v>70.17</c:v>
                </c:pt>
                <c:pt idx="205">
                  <c:v>289.42</c:v>
                </c:pt>
                <c:pt idx="206">
                  <c:v>227.24</c:v>
                </c:pt>
                <c:pt idx="207">
                  <c:v>851.97</c:v>
                </c:pt>
                <c:pt idx="208">
                  <c:v>351.65</c:v>
                </c:pt>
                <c:pt idx="209">
                  <c:v>98.16</c:v>
                </c:pt>
                <c:pt idx="210">
                  <c:v>102.11</c:v>
                </c:pt>
                <c:pt idx="211">
                  <c:v>80.45</c:v>
                </c:pt>
                <c:pt idx="212">
                  <c:v>71.37</c:v>
                </c:pt>
                <c:pt idx="213">
                  <c:v>51.62</c:v>
                </c:pt>
                <c:pt idx="214">
                  <c:v>54</c:v>
                </c:pt>
                <c:pt idx="215">
                  <c:v>58.14</c:v>
                </c:pt>
                <c:pt idx="216">
                  <c:v>120.53</c:v>
                </c:pt>
                <c:pt idx="217">
                  <c:v>117.27</c:v>
                </c:pt>
                <c:pt idx="218">
                  <c:v>142.26</c:v>
                </c:pt>
                <c:pt idx="219">
                  <c:v>169.11</c:v>
                </c:pt>
                <c:pt idx="220">
                  <c:v>91.05</c:v>
                </c:pt>
                <c:pt idx="221">
                  <c:v>38.270000000000003</c:v>
                </c:pt>
                <c:pt idx="222">
                  <c:v>50.49</c:v>
                </c:pt>
                <c:pt idx="223">
                  <c:v>42.52</c:v>
                </c:pt>
                <c:pt idx="224">
                  <c:v>23.73</c:v>
                </c:pt>
                <c:pt idx="225">
                  <c:v>20.98</c:v>
                </c:pt>
                <c:pt idx="226">
                  <c:v>20.02</c:v>
                </c:pt>
                <c:pt idx="227">
                  <c:v>111.3</c:v>
                </c:pt>
                <c:pt idx="228">
                  <c:v>438.48</c:v>
                </c:pt>
                <c:pt idx="231">
                  <c:v>992.56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0-4E52-ADE3-4AF0542E7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flows'!$S$4:$S$235</c:f>
              <c:numCache>
                <c:formatCode>0.0000</c:formatCode>
                <c:ptCount val="232"/>
                <c:pt idx="0">
                  <c:v>90.957368421052621</c:v>
                </c:pt>
                <c:pt idx="1">
                  <c:v>109.05882352941175</c:v>
                </c:pt>
                <c:pt idx="2">
                  <c:v>223.16157894736844</c:v>
                </c:pt>
                <c:pt idx="3">
                  <c:v>222.48684210526312</c:v>
                </c:pt>
                <c:pt idx="4">
                  <c:v>164.41473684210524</c:v>
                </c:pt>
                <c:pt idx="5">
                  <c:v>102.51894736842105</c:v>
                </c:pt>
                <c:pt idx="6">
                  <c:v>63.705789473684213</c:v>
                </c:pt>
                <c:pt idx="7">
                  <c:v>39.715789473684218</c:v>
                </c:pt>
                <c:pt idx="8">
                  <c:v>68.976315789473688</c:v>
                </c:pt>
                <c:pt idx="9">
                  <c:v>56.208947368421043</c:v>
                </c:pt>
                <c:pt idx="10">
                  <c:v>58.608421052631591</c:v>
                </c:pt>
                <c:pt idx="11">
                  <c:v>129.68894736842105</c:v>
                </c:pt>
                <c:pt idx="12">
                  <c:v>90.957368421052621</c:v>
                </c:pt>
                <c:pt idx="13">
                  <c:v>109.05882352941175</c:v>
                </c:pt>
                <c:pt idx="14">
                  <c:v>223.16157894736844</c:v>
                </c:pt>
                <c:pt idx="15">
                  <c:v>222.48684210526312</c:v>
                </c:pt>
                <c:pt idx="16">
                  <c:v>164.41473684210524</c:v>
                </c:pt>
                <c:pt idx="17">
                  <c:v>102.51894736842105</c:v>
                </c:pt>
                <c:pt idx="18">
                  <c:v>63.705789473684213</c:v>
                </c:pt>
                <c:pt idx="19">
                  <c:v>39.715789473684218</c:v>
                </c:pt>
                <c:pt idx="20">
                  <c:v>68.976315789473688</c:v>
                </c:pt>
                <c:pt idx="21">
                  <c:v>56.208947368421043</c:v>
                </c:pt>
                <c:pt idx="22">
                  <c:v>58.608421052631591</c:v>
                </c:pt>
                <c:pt idx="23">
                  <c:v>129.68894736842105</c:v>
                </c:pt>
                <c:pt idx="24">
                  <c:v>90.957368421052621</c:v>
                </c:pt>
                <c:pt idx="25">
                  <c:v>109.05882352941175</c:v>
                </c:pt>
                <c:pt idx="26">
                  <c:v>223.16157894736844</c:v>
                </c:pt>
                <c:pt idx="27">
                  <c:v>222.48684210526312</c:v>
                </c:pt>
                <c:pt idx="28">
                  <c:v>164.41473684210524</c:v>
                </c:pt>
                <c:pt idx="29">
                  <c:v>102.51894736842105</c:v>
                </c:pt>
                <c:pt idx="30">
                  <c:v>63.705789473684213</c:v>
                </c:pt>
                <c:pt idx="31">
                  <c:v>39.715789473684218</c:v>
                </c:pt>
                <c:pt idx="32">
                  <c:v>68.976315789473688</c:v>
                </c:pt>
                <c:pt idx="33">
                  <c:v>56.208947368421043</c:v>
                </c:pt>
                <c:pt idx="34">
                  <c:v>58.608421052631591</c:v>
                </c:pt>
                <c:pt idx="35">
                  <c:v>129.68894736842105</c:v>
                </c:pt>
                <c:pt idx="36">
                  <c:v>90.957368421052621</c:v>
                </c:pt>
                <c:pt idx="37">
                  <c:v>109.05882352941175</c:v>
                </c:pt>
                <c:pt idx="38">
                  <c:v>223.16157894736844</c:v>
                </c:pt>
                <c:pt idx="39">
                  <c:v>222.48684210526312</c:v>
                </c:pt>
                <c:pt idx="40">
                  <c:v>164.41473684210524</c:v>
                </c:pt>
                <c:pt idx="41">
                  <c:v>102.51894736842105</c:v>
                </c:pt>
                <c:pt idx="42">
                  <c:v>63.705789473684213</c:v>
                </c:pt>
                <c:pt idx="43">
                  <c:v>39.715789473684218</c:v>
                </c:pt>
                <c:pt idx="44">
                  <c:v>68.976315789473688</c:v>
                </c:pt>
                <c:pt idx="45">
                  <c:v>56.208947368421043</c:v>
                </c:pt>
                <c:pt idx="46">
                  <c:v>58.608421052631591</c:v>
                </c:pt>
                <c:pt idx="47">
                  <c:v>129.68894736842105</c:v>
                </c:pt>
                <c:pt idx="48">
                  <c:v>90.957368421052621</c:v>
                </c:pt>
                <c:pt idx="49">
                  <c:v>109.05882352941175</c:v>
                </c:pt>
                <c:pt idx="50">
                  <c:v>223.16157894736844</c:v>
                </c:pt>
                <c:pt idx="51">
                  <c:v>222.48684210526312</c:v>
                </c:pt>
                <c:pt idx="52">
                  <c:v>164.41473684210524</c:v>
                </c:pt>
                <c:pt idx="53">
                  <c:v>102.51894736842105</c:v>
                </c:pt>
                <c:pt idx="54">
                  <c:v>63.705789473684213</c:v>
                </c:pt>
                <c:pt idx="55">
                  <c:v>39.715789473684218</c:v>
                </c:pt>
                <c:pt idx="56">
                  <c:v>68.976315789473688</c:v>
                </c:pt>
                <c:pt idx="57">
                  <c:v>56.208947368421043</c:v>
                </c:pt>
                <c:pt idx="58">
                  <c:v>58.608421052631591</c:v>
                </c:pt>
                <c:pt idx="59">
                  <c:v>129.68894736842105</c:v>
                </c:pt>
                <c:pt idx="60">
                  <c:v>90.957368421052621</c:v>
                </c:pt>
                <c:pt idx="61">
                  <c:v>109.05882352941175</c:v>
                </c:pt>
                <c:pt idx="62">
                  <c:v>223.16157894736844</c:v>
                </c:pt>
                <c:pt idx="63">
                  <c:v>222.48684210526312</c:v>
                </c:pt>
                <c:pt idx="64">
                  <c:v>164.41473684210524</c:v>
                </c:pt>
                <c:pt idx="65">
                  <c:v>102.51894736842105</c:v>
                </c:pt>
                <c:pt idx="66">
                  <c:v>63.705789473684213</c:v>
                </c:pt>
                <c:pt idx="67">
                  <c:v>39.715789473684218</c:v>
                </c:pt>
                <c:pt idx="68">
                  <c:v>68.976315789473688</c:v>
                </c:pt>
                <c:pt idx="69">
                  <c:v>56.208947368421043</c:v>
                </c:pt>
                <c:pt idx="70">
                  <c:v>58.608421052631591</c:v>
                </c:pt>
                <c:pt idx="71">
                  <c:v>129.68894736842105</c:v>
                </c:pt>
                <c:pt idx="72">
                  <c:v>90.957368421052621</c:v>
                </c:pt>
                <c:pt idx="73">
                  <c:v>109.05882352941175</c:v>
                </c:pt>
                <c:pt idx="74">
                  <c:v>223.16157894736844</c:v>
                </c:pt>
                <c:pt idx="75">
                  <c:v>222.48684210526312</c:v>
                </c:pt>
                <c:pt idx="76">
                  <c:v>164.41473684210524</c:v>
                </c:pt>
                <c:pt idx="77">
                  <c:v>102.51894736842105</c:v>
                </c:pt>
                <c:pt idx="78">
                  <c:v>63.705789473684213</c:v>
                </c:pt>
                <c:pt idx="79">
                  <c:v>39.715789473684218</c:v>
                </c:pt>
                <c:pt idx="80">
                  <c:v>68.976315789473688</c:v>
                </c:pt>
                <c:pt idx="81">
                  <c:v>56.208947368421043</c:v>
                </c:pt>
                <c:pt idx="82">
                  <c:v>58.608421052631591</c:v>
                </c:pt>
                <c:pt idx="83">
                  <c:v>129.68894736842105</c:v>
                </c:pt>
                <c:pt idx="84">
                  <c:v>90.957368421052621</c:v>
                </c:pt>
                <c:pt idx="85">
                  <c:v>109.05882352941175</c:v>
                </c:pt>
                <c:pt idx="86">
                  <c:v>223.16157894736844</c:v>
                </c:pt>
                <c:pt idx="87">
                  <c:v>222.48684210526312</c:v>
                </c:pt>
                <c:pt idx="88">
                  <c:v>164.41473684210524</c:v>
                </c:pt>
                <c:pt idx="89">
                  <c:v>102.51894736842105</c:v>
                </c:pt>
                <c:pt idx="90">
                  <c:v>63.705789473684213</c:v>
                </c:pt>
                <c:pt idx="91">
                  <c:v>39.715789473684218</c:v>
                </c:pt>
                <c:pt idx="92">
                  <c:v>68.976315789473688</c:v>
                </c:pt>
                <c:pt idx="93">
                  <c:v>56.208947368421043</c:v>
                </c:pt>
                <c:pt idx="94">
                  <c:v>58.608421052631591</c:v>
                </c:pt>
                <c:pt idx="95">
                  <c:v>129.68894736842105</c:v>
                </c:pt>
                <c:pt idx="96">
                  <c:v>90.957368421052621</c:v>
                </c:pt>
                <c:pt idx="97">
                  <c:v>109.05882352941175</c:v>
                </c:pt>
                <c:pt idx="98">
                  <c:v>223.16157894736844</c:v>
                </c:pt>
                <c:pt idx="99">
                  <c:v>222.48684210526312</c:v>
                </c:pt>
                <c:pt idx="100">
                  <c:v>164.41473684210524</c:v>
                </c:pt>
                <c:pt idx="101">
                  <c:v>102.51894736842105</c:v>
                </c:pt>
                <c:pt idx="102">
                  <c:v>63.705789473684213</c:v>
                </c:pt>
                <c:pt idx="103">
                  <c:v>39.715789473684218</c:v>
                </c:pt>
                <c:pt idx="104">
                  <c:v>68.976315789473688</c:v>
                </c:pt>
                <c:pt idx="105">
                  <c:v>56.208947368421043</c:v>
                </c:pt>
                <c:pt idx="106">
                  <c:v>58.608421052631591</c:v>
                </c:pt>
                <c:pt idx="107">
                  <c:v>129.68894736842105</c:v>
                </c:pt>
                <c:pt idx="108">
                  <c:v>90.957368421052621</c:v>
                </c:pt>
                <c:pt idx="109">
                  <c:v>109.05882352941175</c:v>
                </c:pt>
                <c:pt idx="110">
                  <c:v>223.16157894736844</c:v>
                </c:pt>
                <c:pt idx="111">
                  <c:v>222.48684210526312</c:v>
                </c:pt>
                <c:pt idx="112">
                  <c:v>164.41473684210524</c:v>
                </c:pt>
                <c:pt idx="113">
                  <c:v>102.51894736842105</c:v>
                </c:pt>
                <c:pt idx="114">
                  <c:v>63.705789473684213</c:v>
                </c:pt>
                <c:pt idx="115">
                  <c:v>39.715789473684218</c:v>
                </c:pt>
                <c:pt idx="116">
                  <c:v>68.976315789473688</c:v>
                </c:pt>
                <c:pt idx="117">
                  <c:v>56.208947368421043</c:v>
                </c:pt>
                <c:pt idx="118">
                  <c:v>58.608421052631591</c:v>
                </c:pt>
                <c:pt idx="119">
                  <c:v>129.68894736842105</c:v>
                </c:pt>
                <c:pt idx="120">
                  <c:v>90.957368421052621</c:v>
                </c:pt>
                <c:pt idx="121">
                  <c:v>109.05882352941175</c:v>
                </c:pt>
                <c:pt idx="122">
                  <c:v>223.16157894736844</c:v>
                </c:pt>
                <c:pt idx="123">
                  <c:v>222.48684210526312</c:v>
                </c:pt>
                <c:pt idx="124">
                  <c:v>164.41473684210524</c:v>
                </c:pt>
                <c:pt idx="125">
                  <c:v>102.51894736842105</c:v>
                </c:pt>
                <c:pt idx="126">
                  <c:v>63.705789473684213</c:v>
                </c:pt>
                <c:pt idx="127">
                  <c:v>39.715789473684218</c:v>
                </c:pt>
                <c:pt idx="128">
                  <c:v>68.976315789473688</c:v>
                </c:pt>
                <c:pt idx="129">
                  <c:v>56.208947368421043</c:v>
                </c:pt>
                <c:pt idx="130">
                  <c:v>58.608421052631591</c:v>
                </c:pt>
                <c:pt idx="131">
                  <c:v>129.68894736842105</c:v>
                </c:pt>
                <c:pt idx="132">
                  <c:v>90.957368421052621</c:v>
                </c:pt>
                <c:pt idx="133">
                  <c:v>109.05882352941175</c:v>
                </c:pt>
                <c:pt idx="134">
                  <c:v>223.16157894736844</c:v>
                </c:pt>
                <c:pt idx="135">
                  <c:v>222.48684210526312</c:v>
                </c:pt>
                <c:pt idx="136">
                  <c:v>164.41473684210524</c:v>
                </c:pt>
                <c:pt idx="137">
                  <c:v>102.51894736842105</c:v>
                </c:pt>
                <c:pt idx="138">
                  <c:v>63.705789473684213</c:v>
                </c:pt>
                <c:pt idx="139">
                  <c:v>39.715789473684218</c:v>
                </c:pt>
                <c:pt idx="140">
                  <c:v>68.976315789473688</c:v>
                </c:pt>
                <c:pt idx="141">
                  <c:v>56.208947368421043</c:v>
                </c:pt>
                <c:pt idx="142">
                  <c:v>58.608421052631591</c:v>
                </c:pt>
                <c:pt idx="143">
                  <c:v>129.68894736842105</c:v>
                </c:pt>
                <c:pt idx="144">
                  <c:v>90.957368421052621</c:v>
                </c:pt>
                <c:pt idx="145">
                  <c:v>109.05882352941175</c:v>
                </c:pt>
                <c:pt idx="146">
                  <c:v>223.16157894736844</c:v>
                </c:pt>
                <c:pt idx="147">
                  <c:v>222.48684210526312</c:v>
                </c:pt>
                <c:pt idx="148">
                  <c:v>164.41473684210524</c:v>
                </c:pt>
                <c:pt idx="149">
                  <c:v>102.51894736842105</c:v>
                </c:pt>
                <c:pt idx="150">
                  <c:v>63.705789473684213</c:v>
                </c:pt>
                <c:pt idx="151">
                  <c:v>39.715789473684218</c:v>
                </c:pt>
                <c:pt idx="152">
                  <c:v>68.976315789473688</c:v>
                </c:pt>
                <c:pt idx="153">
                  <c:v>56.208947368421043</c:v>
                </c:pt>
                <c:pt idx="154">
                  <c:v>58.608421052631591</c:v>
                </c:pt>
                <c:pt idx="155">
                  <c:v>129.68894736842105</c:v>
                </c:pt>
                <c:pt idx="156">
                  <c:v>90.957368421052621</c:v>
                </c:pt>
                <c:pt idx="157">
                  <c:v>109.05882352941175</c:v>
                </c:pt>
                <c:pt idx="158">
                  <c:v>223.16157894736844</c:v>
                </c:pt>
                <c:pt idx="159">
                  <c:v>222.48684210526312</c:v>
                </c:pt>
                <c:pt idx="160">
                  <c:v>164.41473684210524</c:v>
                </c:pt>
                <c:pt idx="161">
                  <c:v>102.51894736842105</c:v>
                </c:pt>
                <c:pt idx="162">
                  <c:v>63.705789473684213</c:v>
                </c:pt>
                <c:pt idx="163">
                  <c:v>39.715789473684218</c:v>
                </c:pt>
                <c:pt idx="164">
                  <c:v>68.976315789473688</c:v>
                </c:pt>
                <c:pt idx="165">
                  <c:v>56.208947368421043</c:v>
                </c:pt>
                <c:pt idx="166">
                  <c:v>58.608421052631591</c:v>
                </c:pt>
                <c:pt idx="167">
                  <c:v>129.68894736842105</c:v>
                </c:pt>
                <c:pt idx="168">
                  <c:v>90.957368421052621</c:v>
                </c:pt>
                <c:pt idx="169">
                  <c:v>109.05882352941175</c:v>
                </c:pt>
                <c:pt idx="170">
                  <c:v>223.16157894736844</c:v>
                </c:pt>
                <c:pt idx="171">
                  <c:v>222.48684210526312</c:v>
                </c:pt>
                <c:pt idx="172">
                  <c:v>164.41473684210524</c:v>
                </c:pt>
                <c:pt idx="173">
                  <c:v>102.51894736842105</c:v>
                </c:pt>
                <c:pt idx="174">
                  <c:v>63.705789473684213</c:v>
                </c:pt>
                <c:pt idx="175">
                  <c:v>39.715789473684218</c:v>
                </c:pt>
                <c:pt idx="176">
                  <c:v>68.976315789473688</c:v>
                </c:pt>
                <c:pt idx="177">
                  <c:v>56.208947368421043</c:v>
                </c:pt>
                <c:pt idx="178">
                  <c:v>58.608421052631591</c:v>
                </c:pt>
                <c:pt idx="179">
                  <c:v>129.68894736842105</c:v>
                </c:pt>
                <c:pt idx="180">
                  <c:v>90.957368421052621</c:v>
                </c:pt>
                <c:pt idx="181">
                  <c:v>109.05882352941175</c:v>
                </c:pt>
                <c:pt idx="182">
                  <c:v>223.16157894736844</c:v>
                </c:pt>
                <c:pt idx="183">
                  <c:v>222.48684210526312</c:v>
                </c:pt>
                <c:pt idx="184">
                  <c:v>164.41473684210524</c:v>
                </c:pt>
                <c:pt idx="185">
                  <c:v>102.51894736842105</c:v>
                </c:pt>
                <c:pt idx="186">
                  <c:v>63.705789473684213</c:v>
                </c:pt>
                <c:pt idx="187">
                  <c:v>39.715789473684218</c:v>
                </c:pt>
                <c:pt idx="188">
                  <c:v>68.976315789473688</c:v>
                </c:pt>
                <c:pt idx="189">
                  <c:v>56.208947368421043</c:v>
                </c:pt>
                <c:pt idx="190">
                  <c:v>58.608421052631591</c:v>
                </c:pt>
                <c:pt idx="191">
                  <c:v>129.68894736842105</c:v>
                </c:pt>
                <c:pt idx="192">
                  <c:v>90.957368421052621</c:v>
                </c:pt>
                <c:pt idx="193">
                  <c:v>109.05882352941175</c:v>
                </c:pt>
                <c:pt idx="194">
                  <c:v>223.16157894736844</c:v>
                </c:pt>
                <c:pt idx="195">
                  <c:v>222.48684210526312</c:v>
                </c:pt>
                <c:pt idx="196">
                  <c:v>164.41473684210524</c:v>
                </c:pt>
                <c:pt idx="197">
                  <c:v>102.51894736842105</c:v>
                </c:pt>
                <c:pt idx="198">
                  <c:v>63.705789473684213</c:v>
                </c:pt>
                <c:pt idx="199">
                  <c:v>39.715789473684218</c:v>
                </c:pt>
                <c:pt idx="200">
                  <c:v>68.976315789473688</c:v>
                </c:pt>
                <c:pt idx="201">
                  <c:v>56.208947368421043</c:v>
                </c:pt>
                <c:pt idx="202">
                  <c:v>58.608421052631591</c:v>
                </c:pt>
                <c:pt idx="203">
                  <c:v>129.68894736842105</c:v>
                </c:pt>
                <c:pt idx="204">
                  <c:v>90.957368421052621</c:v>
                </c:pt>
                <c:pt idx="205">
                  <c:v>109.05882352941175</c:v>
                </c:pt>
                <c:pt idx="206">
                  <c:v>223.16157894736844</c:v>
                </c:pt>
                <c:pt idx="207">
                  <c:v>222.48684210526312</c:v>
                </c:pt>
                <c:pt idx="208">
                  <c:v>164.41473684210524</c:v>
                </c:pt>
                <c:pt idx="209">
                  <c:v>102.51894736842105</c:v>
                </c:pt>
                <c:pt idx="210">
                  <c:v>63.705789473684213</c:v>
                </c:pt>
                <c:pt idx="211">
                  <c:v>39.715789473684218</c:v>
                </c:pt>
                <c:pt idx="212">
                  <c:v>68.976315789473688</c:v>
                </c:pt>
                <c:pt idx="213">
                  <c:v>56.208947368421043</c:v>
                </c:pt>
                <c:pt idx="214">
                  <c:v>58.608421052631591</c:v>
                </c:pt>
                <c:pt idx="215">
                  <c:v>129.68894736842105</c:v>
                </c:pt>
                <c:pt idx="216">
                  <c:v>90.957368421052621</c:v>
                </c:pt>
                <c:pt idx="217">
                  <c:v>109.05882352941175</c:v>
                </c:pt>
                <c:pt idx="218">
                  <c:v>223.16157894736844</c:v>
                </c:pt>
                <c:pt idx="219">
                  <c:v>222.48684210526312</c:v>
                </c:pt>
                <c:pt idx="220">
                  <c:v>164.41473684210524</c:v>
                </c:pt>
                <c:pt idx="221">
                  <c:v>102.51894736842105</c:v>
                </c:pt>
                <c:pt idx="222">
                  <c:v>63.705789473684213</c:v>
                </c:pt>
                <c:pt idx="223">
                  <c:v>39.715789473684218</c:v>
                </c:pt>
                <c:pt idx="224">
                  <c:v>68.976315789473688</c:v>
                </c:pt>
                <c:pt idx="225">
                  <c:v>56.208947368421043</c:v>
                </c:pt>
                <c:pt idx="226">
                  <c:v>58.608421052631591</c:v>
                </c:pt>
                <c:pt idx="227">
                  <c:v>129.68894736842105</c:v>
                </c:pt>
                <c:pt idx="228">
                  <c:v>90.957368421052621</c:v>
                </c:pt>
                <c:pt idx="229">
                  <c:v>109.05882352941175</c:v>
                </c:pt>
                <c:pt idx="230">
                  <c:v>223.16157894736844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7-42F8-8CBD-69577EBD5394}"/>
            </c:ext>
          </c:extLst>
        </c:ser>
        <c:ser>
          <c:idx val="0"/>
          <c:order val="1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flows'!$R$4:$R$235</c:f>
              <c:numCache>
                <c:formatCode>0.000</c:formatCode>
                <c:ptCount val="232"/>
                <c:pt idx="0">
                  <c:v>260.54000000000002</c:v>
                </c:pt>
                <c:pt idx="1">
                  <c:v>26.61</c:v>
                </c:pt>
                <c:pt idx="2">
                  <c:v>20.43</c:v>
                </c:pt>
                <c:pt idx="3">
                  <c:v>80.25</c:v>
                </c:pt>
                <c:pt idx="4">
                  <c:v>314.99</c:v>
                </c:pt>
                <c:pt idx="5">
                  <c:v>206.46</c:v>
                </c:pt>
                <c:pt idx="6">
                  <c:v>174.6</c:v>
                </c:pt>
                <c:pt idx="7">
                  <c:v>31.58</c:v>
                </c:pt>
                <c:pt idx="8">
                  <c:v>78.150000000000006</c:v>
                </c:pt>
                <c:pt idx="9">
                  <c:v>261.61</c:v>
                </c:pt>
                <c:pt idx="10">
                  <c:v>295.98</c:v>
                </c:pt>
                <c:pt idx="11">
                  <c:v>1381.95</c:v>
                </c:pt>
                <c:pt idx="12">
                  <c:v>766.78</c:v>
                </c:pt>
                <c:pt idx="13">
                  <c:v>1110.8399999999999</c:v>
                </c:pt>
                <c:pt idx="14">
                  <c:v>469.43</c:v>
                </c:pt>
                <c:pt idx="15">
                  <c:v>187.24</c:v>
                </c:pt>
                <c:pt idx="16">
                  <c:v>96.74</c:v>
                </c:pt>
                <c:pt idx="17">
                  <c:v>58.09</c:v>
                </c:pt>
                <c:pt idx="18">
                  <c:v>26.82</c:v>
                </c:pt>
                <c:pt idx="19">
                  <c:v>91.68</c:v>
                </c:pt>
                <c:pt idx="20">
                  <c:v>726.86</c:v>
                </c:pt>
                <c:pt idx="21">
                  <c:v>373.42</c:v>
                </c:pt>
                <c:pt idx="22">
                  <c:v>184.88</c:v>
                </c:pt>
                <c:pt idx="23">
                  <c:v>56.64</c:v>
                </c:pt>
                <c:pt idx="24">
                  <c:v>33.22</c:v>
                </c:pt>
                <c:pt idx="25">
                  <c:v>19.89</c:v>
                </c:pt>
                <c:pt idx="26">
                  <c:v>20.87</c:v>
                </c:pt>
                <c:pt idx="27">
                  <c:v>41.91</c:v>
                </c:pt>
                <c:pt idx="28">
                  <c:v>17.149999999999999</c:v>
                </c:pt>
                <c:pt idx="29">
                  <c:v>12.59</c:v>
                </c:pt>
                <c:pt idx="30">
                  <c:v>12.28</c:v>
                </c:pt>
                <c:pt idx="31">
                  <c:v>17.66</c:v>
                </c:pt>
                <c:pt idx="32">
                  <c:v>18.829999999999998</c:v>
                </c:pt>
                <c:pt idx="33">
                  <c:v>18.649999999999999</c:v>
                </c:pt>
                <c:pt idx="34">
                  <c:v>19.09</c:v>
                </c:pt>
                <c:pt idx="35">
                  <c:v>22.06</c:v>
                </c:pt>
                <c:pt idx="36">
                  <c:v>18.649999999999999</c:v>
                </c:pt>
                <c:pt idx="37">
                  <c:v>18.399999999999999</c:v>
                </c:pt>
                <c:pt idx="38">
                  <c:v>16.53</c:v>
                </c:pt>
                <c:pt idx="39">
                  <c:v>52.28</c:v>
                </c:pt>
                <c:pt idx="40">
                  <c:v>41.07</c:v>
                </c:pt>
                <c:pt idx="41">
                  <c:v>31.75</c:v>
                </c:pt>
                <c:pt idx="42">
                  <c:v>25.32</c:v>
                </c:pt>
                <c:pt idx="43">
                  <c:v>23.51</c:v>
                </c:pt>
                <c:pt idx="44">
                  <c:v>18.649999999999999</c:v>
                </c:pt>
                <c:pt idx="45">
                  <c:v>18.649999999999999</c:v>
                </c:pt>
                <c:pt idx="46">
                  <c:v>16.940000000000001</c:v>
                </c:pt>
                <c:pt idx="47">
                  <c:v>18.13</c:v>
                </c:pt>
                <c:pt idx="48">
                  <c:v>17.760000000000002</c:v>
                </c:pt>
                <c:pt idx="49">
                  <c:v>26.55</c:v>
                </c:pt>
                <c:pt idx="50">
                  <c:v>24.02</c:v>
                </c:pt>
                <c:pt idx="51">
                  <c:v>34.479999999999997</c:v>
                </c:pt>
                <c:pt idx="52">
                  <c:v>29.98</c:v>
                </c:pt>
                <c:pt idx="53">
                  <c:v>24.92</c:v>
                </c:pt>
                <c:pt idx="54">
                  <c:v>22.94</c:v>
                </c:pt>
                <c:pt idx="55">
                  <c:v>18.649999999999999</c:v>
                </c:pt>
                <c:pt idx="56">
                  <c:v>17.14</c:v>
                </c:pt>
                <c:pt idx="57">
                  <c:v>20.18</c:v>
                </c:pt>
                <c:pt idx="58">
                  <c:v>26.47</c:v>
                </c:pt>
                <c:pt idx="59">
                  <c:v>32.44</c:v>
                </c:pt>
                <c:pt idx="60">
                  <c:v>44.38</c:v>
                </c:pt>
                <c:pt idx="61">
                  <c:v>92.07</c:v>
                </c:pt>
                <c:pt idx="62">
                  <c:v>905.6</c:v>
                </c:pt>
                <c:pt idx="63">
                  <c:v>1035.52</c:v>
                </c:pt>
                <c:pt idx="64">
                  <c:v>611.84</c:v>
                </c:pt>
                <c:pt idx="65">
                  <c:v>419.92</c:v>
                </c:pt>
                <c:pt idx="66">
                  <c:v>189.13</c:v>
                </c:pt>
                <c:pt idx="67">
                  <c:v>105.65</c:v>
                </c:pt>
                <c:pt idx="68">
                  <c:v>70.33</c:v>
                </c:pt>
                <c:pt idx="69">
                  <c:v>92.12</c:v>
                </c:pt>
                <c:pt idx="70">
                  <c:v>155.19</c:v>
                </c:pt>
                <c:pt idx="71">
                  <c:v>412.97</c:v>
                </c:pt>
                <c:pt idx="72">
                  <c:v>307.95999999999998</c:v>
                </c:pt>
                <c:pt idx="73">
                  <c:v>152.58000000000001</c:v>
                </c:pt>
                <c:pt idx="74">
                  <c:v>12.32</c:v>
                </c:pt>
                <c:pt idx="75">
                  <c:v>8.2899999999999991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8.3699999999999992</c:v>
                </c:pt>
                <c:pt idx="87">
                  <c:v>24.02</c:v>
                </c:pt>
                <c:pt idx="88">
                  <c:v>19.36</c:v>
                </c:pt>
                <c:pt idx="89">
                  <c:v>16.96</c:v>
                </c:pt>
                <c:pt idx="90">
                  <c:v>13.66</c:v>
                </c:pt>
                <c:pt idx="91">
                  <c:v>13.11</c:v>
                </c:pt>
                <c:pt idx="92">
                  <c:v>13.08</c:v>
                </c:pt>
                <c:pt idx="93">
                  <c:v>13.22</c:v>
                </c:pt>
                <c:pt idx="94">
                  <c:v>13.22</c:v>
                </c:pt>
                <c:pt idx="95">
                  <c:v>12.71</c:v>
                </c:pt>
                <c:pt idx="96">
                  <c:v>12.1</c:v>
                </c:pt>
                <c:pt idx="97">
                  <c:v>58.08</c:v>
                </c:pt>
                <c:pt idx="98">
                  <c:v>719.23</c:v>
                </c:pt>
                <c:pt idx="99">
                  <c:v>220.41</c:v>
                </c:pt>
                <c:pt idx="100">
                  <c:v>46.58</c:v>
                </c:pt>
                <c:pt idx="101">
                  <c:v>35.04</c:v>
                </c:pt>
                <c:pt idx="102">
                  <c:v>82.38</c:v>
                </c:pt>
                <c:pt idx="103">
                  <c:v>44.45</c:v>
                </c:pt>
                <c:pt idx="104">
                  <c:v>18.88</c:v>
                </c:pt>
                <c:pt idx="105">
                  <c:v>19.38</c:v>
                </c:pt>
                <c:pt idx="106">
                  <c:v>224.85</c:v>
                </c:pt>
                <c:pt idx="107">
                  <c:v>196.5</c:v>
                </c:pt>
                <c:pt idx="108">
                  <c:v>43.13</c:v>
                </c:pt>
                <c:pt idx="110">
                  <c:v>372.62</c:v>
                </c:pt>
                <c:pt idx="111">
                  <c:v>389.42</c:v>
                </c:pt>
                <c:pt idx="112">
                  <c:v>138.91999999999999</c:v>
                </c:pt>
                <c:pt idx="113">
                  <c:v>87.85</c:v>
                </c:pt>
                <c:pt idx="114">
                  <c:v>74.83</c:v>
                </c:pt>
                <c:pt idx="115">
                  <c:v>59.46</c:v>
                </c:pt>
                <c:pt idx="116">
                  <c:v>47.26</c:v>
                </c:pt>
                <c:pt idx="117">
                  <c:v>36.909999999999997</c:v>
                </c:pt>
                <c:pt idx="118">
                  <c:v>30.59</c:v>
                </c:pt>
                <c:pt idx="119">
                  <c:v>83.68</c:v>
                </c:pt>
                <c:pt idx="122">
                  <c:v>861.33</c:v>
                </c:pt>
                <c:pt idx="123">
                  <c:v>943.41</c:v>
                </c:pt>
                <c:pt idx="124">
                  <c:v>748.55</c:v>
                </c:pt>
                <c:pt idx="125">
                  <c:v>755.71</c:v>
                </c:pt>
                <c:pt idx="126">
                  <c:v>341.63</c:v>
                </c:pt>
                <c:pt idx="127">
                  <c:v>133.83000000000001</c:v>
                </c:pt>
                <c:pt idx="128">
                  <c:v>92.81</c:v>
                </c:pt>
                <c:pt idx="129">
                  <c:v>38.979999999999997</c:v>
                </c:pt>
                <c:pt idx="130">
                  <c:v>12.76</c:v>
                </c:pt>
                <c:pt idx="131">
                  <c:v>11.56</c:v>
                </c:pt>
                <c:pt idx="132">
                  <c:v>10.46</c:v>
                </c:pt>
                <c:pt idx="133">
                  <c:v>70.34</c:v>
                </c:pt>
                <c:pt idx="134">
                  <c:v>83.27</c:v>
                </c:pt>
                <c:pt idx="135">
                  <c:v>96.31</c:v>
                </c:pt>
                <c:pt idx="136">
                  <c:v>81.96</c:v>
                </c:pt>
                <c:pt idx="137">
                  <c:v>70.900000000000006</c:v>
                </c:pt>
                <c:pt idx="138">
                  <c:v>61.88</c:v>
                </c:pt>
                <c:pt idx="139">
                  <c:v>55.58</c:v>
                </c:pt>
                <c:pt idx="140">
                  <c:v>71.77</c:v>
                </c:pt>
                <c:pt idx="141">
                  <c:v>76.510000000000005</c:v>
                </c:pt>
                <c:pt idx="142">
                  <c:v>43.14</c:v>
                </c:pt>
                <c:pt idx="143">
                  <c:v>68.209999999999994</c:v>
                </c:pt>
                <c:pt idx="144">
                  <c:v>117.56</c:v>
                </c:pt>
                <c:pt idx="145">
                  <c:v>113.14</c:v>
                </c:pt>
                <c:pt idx="146">
                  <c:v>65.02</c:v>
                </c:pt>
                <c:pt idx="147">
                  <c:v>58.61</c:v>
                </c:pt>
                <c:pt idx="148">
                  <c:v>18.100000000000001</c:v>
                </c:pt>
                <c:pt idx="149">
                  <c:v>44.12</c:v>
                </c:pt>
                <c:pt idx="150">
                  <c:v>35.71</c:v>
                </c:pt>
                <c:pt idx="151">
                  <c:v>11.46</c:v>
                </c:pt>
                <c:pt idx="152">
                  <c:v>7.95</c:v>
                </c:pt>
                <c:pt idx="153">
                  <c:v>10.31</c:v>
                </c:pt>
                <c:pt idx="154">
                  <c:v>11</c:v>
                </c:pt>
                <c:pt idx="155">
                  <c:v>44.15</c:v>
                </c:pt>
                <c:pt idx="156">
                  <c:v>17.22</c:v>
                </c:pt>
                <c:pt idx="157">
                  <c:v>30.69</c:v>
                </c:pt>
                <c:pt idx="158">
                  <c:v>355.71</c:v>
                </c:pt>
                <c:pt idx="159">
                  <c:v>814.11</c:v>
                </c:pt>
                <c:pt idx="160">
                  <c:v>44.39</c:v>
                </c:pt>
                <c:pt idx="161">
                  <c:v>32.36</c:v>
                </c:pt>
                <c:pt idx="162">
                  <c:v>15.93</c:v>
                </c:pt>
                <c:pt idx="163">
                  <c:v>28.47</c:v>
                </c:pt>
                <c:pt idx="164">
                  <c:v>22.4</c:v>
                </c:pt>
                <c:pt idx="165">
                  <c:v>16.75</c:v>
                </c:pt>
                <c:pt idx="166">
                  <c:v>43.85</c:v>
                </c:pt>
                <c:pt idx="167">
                  <c:v>56.47</c:v>
                </c:pt>
                <c:pt idx="168">
                  <c:v>10.31</c:v>
                </c:pt>
                <c:pt idx="169">
                  <c:v>56.71</c:v>
                </c:pt>
                <c:pt idx="170">
                  <c:v>20.22</c:v>
                </c:pt>
                <c:pt idx="171">
                  <c:v>52.58</c:v>
                </c:pt>
                <c:pt idx="172">
                  <c:v>43.89</c:v>
                </c:pt>
                <c:pt idx="173">
                  <c:v>38.81</c:v>
                </c:pt>
                <c:pt idx="174">
                  <c:v>50.37</c:v>
                </c:pt>
                <c:pt idx="175">
                  <c:v>45.81</c:v>
                </c:pt>
                <c:pt idx="176">
                  <c:v>34.15</c:v>
                </c:pt>
                <c:pt idx="177">
                  <c:v>13.31</c:v>
                </c:pt>
                <c:pt idx="178">
                  <c:v>8.9</c:v>
                </c:pt>
                <c:pt idx="179">
                  <c:v>15.79</c:v>
                </c:pt>
                <c:pt idx="180">
                  <c:v>13.81</c:v>
                </c:pt>
                <c:pt idx="181">
                  <c:v>31.33</c:v>
                </c:pt>
                <c:pt idx="183">
                  <c:v>21.01</c:v>
                </c:pt>
                <c:pt idx="184">
                  <c:v>18.78</c:v>
                </c:pt>
                <c:pt idx="185">
                  <c:v>12.31</c:v>
                </c:pt>
                <c:pt idx="186">
                  <c:v>7.48</c:v>
                </c:pt>
                <c:pt idx="187">
                  <c:v>12.1</c:v>
                </c:pt>
                <c:pt idx="188">
                  <c:v>13.1</c:v>
                </c:pt>
                <c:pt idx="189">
                  <c:v>7.6</c:v>
                </c:pt>
                <c:pt idx="190">
                  <c:v>2.23</c:v>
                </c:pt>
                <c:pt idx="191">
                  <c:v>2.61</c:v>
                </c:pt>
                <c:pt idx="192">
                  <c:v>22.84</c:v>
                </c:pt>
                <c:pt idx="193">
                  <c:v>20.53</c:v>
                </c:pt>
                <c:pt idx="194">
                  <c:v>234.29</c:v>
                </c:pt>
                <c:pt idx="195">
                  <c:v>23</c:v>
                </c:pt>
                <c:pt idx="196">
                  <c:v>17.64</c:v>
                </c:pt>
                <c:pt idx="197">
                  <c:v>12.18</c:v>
                </c:pt>
                <c:pt idx="198">
                  <c:v>11.52</c:v>
                </c:pt>
                <c:pt idx="199">
                  <c:v>15.42</c:v>
                </c:pt>
                <c:pt idx="200">
                  <c:v>13.76</c:v>
                </c:pt>
                <c:pt idx="201">
                  <c:v>19.02</c:v>
                </c:pt>
                <c:pt idx="202">
                  <c:v>5.17</c:v>
                </c:pt>
                <c:pt idx="203">
                  <c:v>9.57</c:v>
                </c:pt>
                <c:pt idx="204">
                  <c:v>11.24</c:v>
                </c:pt>
                <c:pt idx="205">
                  <c:v>10.41</c:v>
                </c:pt>
                <c:pt idx="206">
                  <c:v>8.84</c:v>
                </c:pt>
                <c:pt idx="207">
                  <c:v>138.16999999999999</c:v>
                </c:pt>
                <c:pt idx="208">
                  <c:v>695.63</c:v>
                </c:pt>
                <c:pt idx="209">
                  <c:v>60.26</c:v>
                </c:pt>
                <c:pt idx="210">
                  <c:v>42.79</c:v>
                </c:pt>
                <c:pt idx="211">
                  <c:v>23.77</c:v>
                </c:pt>
                <c:pt idx="212">
                  <c:v>26.1</c:v>
                </c:pt>
                <c:pt idx="213">
                  <c:v>17.940000000000001</c:v>
                </c:pt>
                <c:pt idx="214">
                  <c:v>6.26</c:v>
                </c:pt>
                <c:pt idx="215">
                  <c:v>11.03</c:v>
                </c:pt>
                <c:pt idx="216">
                  <c:v>5.31</c:v>
                </c:pt>
                <c:pt idx="217">
                  <c:v>8.23</c:v>
                </c:pt>
                <c:pt idx="218">
                  <c:v>5.84</c:v>
                </c:pt>
                <c:pt idx="219">
                  <c:v>6.23</c:v>
                </c:pt>
                <c:pt idx="220">
                  <c:v>130.71</c:v>
                </c:pt>
                <c:pt idx="221">
                  <c:v>20.03</c:v>
                </c:pt>
                <c:pt idx="222">
                  <c:v>13.54</c:v>
                </c:pt>
                <c:pt idx="223">
                  <c:v>14.81</c:v>
                </c:pt>
                <c:pt idx="224">
                  <c:v>11.73</c:v>
                </c:pt>
                <c:pt idx="225">
                  <c:v>5.81</c:v>
                </c:pt>
                <c:pt idx="226">
                  <c:v>5.44</c:v>
                </c:pt>
                <c:pt idx="227">
                  <c:v>20.02</c:v>
                </c:pt>
                <c:pt idx="228">
                  <c:v>7.32</c:v>
                </c:pt>
                <c:pt idx="230">
                  <c:v>36.130000000000003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7-42F8-8CBD-69577EBD5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Kwando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Average</c:v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flows'!$G$4:$G$235</c:f>
              <c:numCache>
                <c:formatCode>0.0000</c:formatCode>
                <c:ptCount val="232"/>
                <c:pt idx="0">
                  <c:v>30.8</c:v>
                </c:pt>
                <c:pt idx="1">
                  <c:v>33.1875</c:v>
                </c:pt>
                <c:pt idx="2">
                  <c:v>37.004666666666672</c:v>
                </c:pt>
                <c:pt idx="3">
                  <c:v>37.96</c:v>
                </c:pt>
                <c:pt idx="4">
                  <c:v>38.770000000000003</c:v>
                </c:pt>
                <c:pt idx="5">
                  <c:v>40.809285714285714</c:v>
                </c:pt>
                <c:pt idx="6">
                  <c:v>43.05</c:v>
                </c:pt>
                <c:pt idx="7">
                  <c:v>45.191428571428567</c:v>
                </c:pt>
                <c:pt idx="8">
                  <c:v>44.037692307692296</c:v>
                </c:pt>
                <c:pt idx="9">
                  <c:v>38.246428571428574</c:v>
                </c:pt>
                <c:pt idx="10">
                  <c:v>31.170666666666669</c:v>
                </c:pt>
                <c:pt idx="11">
                  <c:v>29.229375000000001</c:v>
                </c:pt>
                <c:pt idx="12">
                  <c:v>30.8</c:v>
                </c:pt>
                <c:pt idx="13">
                  <c:v>33.1875</c:v>
                </c:pt>
                <c:pt idx="14">
                  <c:v>37.004666666666672</c:v>
                </c:pt>
                <c:pt idx="15">
                  <c:v>37.96</c:v>
                </c:pt>
                <c:pt idx="16">
                  <c:v>38.770000000000003</c:v>
                </c:pt>
                <c:pt idx="17">
                  <c:v>40.809285714285714</c:v>
                </c:pt>
                <c:pt idx="18">
                  <c:v>43.05</c:v>
                </c:pt>
                <c:pt idx="19">
                  <c:v>45.191428571428567</c:v>
                </c:pt>
                <c:pt idx="20">
                  <c:v>44.037692307692296</c:v>
                </c:pt>
                <c:pt idx="21">
                  <c:v>38.246428571428574</c:v>
                </c:pt>
                <c:pt idx="22">
                  <c:v>31.170666666666669</c:v>
                </c:pt>
                <c:pt idx="23">
                  <c:v>29.229375000000001</c:v>
                </c:pt>
                <c:pt idx="24">
                  <c:v>30.8</c:v>
                </c:pt>
                <c:pt idx="25">
                  <c:v>33.1875</c:v>
                </c:pt>
                <c:pt idx="26">
                  <c:v>37.004666666666672</c:v>
                </c:pt>
                <c:pt idx="27">
                  <c:v>37.96</c:v>
                </c:pt>
                <c:pt idx="28">
                  <c:v>38.770000000000003</c:v>
                </c:pt>
                <c:pt idx="29">
                  <c:v>40.809285714285714</c:v>
                </c:pt>
                <c:pt idx="30">
                  <c:v>43.05</c:v>
                </c:pt>
                <c:pt idx="31">
                  <c:v>45.191428571428567</c:v>
                </c:pt>
                <c:pt idx="32">
                  <c:v>44.037692307692296</c:v>
                </c:pt>
                <c:pt idx="33">
                  <c:v>38.246428571428574</c:v>
                </c:pt>
                <c:pt idx="34">
                  <c:v>31.170666666666669</c:v>
                </c:pt>
                <c:pt idx="35">
                  <c:v>29.229375000000001</c:v>
                </c:pt>
                <c:pt idx="36">
                  <c:v>30.8</c:v>
                </c:pt>
                <c:pt idx="37">
                  <c:v>33.1875</c:v>
                </c:pt>
                <c:pt idx="38">
                  <c:v>37.004666666666672</c:v>
                </c:pt>
                <c:pt idx="39">
                  <c:v>37.96</c:v>
                </c:pt>
                <c:pt idx="40">
                  <c:v>38.770000000000003</c:v>
                </c:pt>
                <c:pt idx="41">
                  <c:v>40.809285714285714</c:v>
                </c:pt>
                <c:pt idx="42">
                  <c:v>43.05</c:v>
                </c:pt>
                <c:pt idx="43">
                  <c:v>45.191428571428567</c:v>
                </c:pt>
                <c:pt idx="44">
                  <c:v>44.037692307692296</c:v>
                </c:pt>
                <c:pt idx="45">
                  <c:v>38.246428571428574</c:v>
                </c:pt>
                <c:pt idx="46">
                  <c:v>31.170666666666669</c:v>
                </c:pt>
                <c:pt idx="47">
                  <c:v>29.229375000000001</c:v>
                </c:pt>
                <c:pt idx="48">
                  <c:v>30.8</c:v>
                </c:pt>
                <c:pt idx="49">
                  <c:v>33.1875</c:v>
                </c:pt>
                <c:pt idx="50">
                  <c:v>37.004666666666672</c:v>
                </c:pt>
                <c:pt idx="51">
                  <c:v>37.96</c:v>
                </c:pt>
                <c:pt idx="52">
                  <c:v>38.770000000000003</c:v>
                </c:pt>
                <c:pt idx="53">
                  <c:v>40.809285714285714</c:v>
                </c:pt>
                <c:pt idx="54">
                  <c:v>43.05</c:v>
                </c:pt>
                <c:pt idx="55">
                  <c:v>45.191428571428567</c:v>
                </c:pt>
                <c:pt idx="56">
                  <c:v>44.037692307692296</c:v>
                </c:pt>
                <c:pt idx="57">
                  <c:v>38.246428571428574</c:v>
                </c:pt>
                <c:pt idx="58">
                  <c:v>31.170666666666669</c:v>
                </c:pt>
                <c:pt idx="59">
                  <c:v>29.229375000000001</c:v>
                </c:pt>
                <c:pt idx="60">
                  <c:v>30.8</c:v>
                </c:pt>
                <c:pt idx="61">
                  <c:v>33.1875</c:v>
                </c:pt>
                <c:pt idx="62">
                  <c:v>37.004666666666672</c:v>
                </c:pt>
                <c:pt idx="63">
                  <c:v>37.96</c:v>
                </c:pt>
                <c:pt idx="64">
                  <c:v>38.770000000000003</c:v>
                </c:pt>
                <c:pt idx="65">
                  <c:v>40.809285714285714</c:v>
                </c:pt>
                <c:pt idx="66">
                  <c:v>43.05</c:v>
                </c:pt>
                <c:pt idx="67">
                  <c:v>45.191428571428567</c:v>
                </c:pt>
                <c:pt idx="68">
                  <c:v>44.037692307692296</c:v>
                </c:pt>
                <c:pt idx="69">
                  <c:v>38.246428571428574</c:v>
                </c:pt>
                <c:pt idx="70">
                  <c:v>31.170666666666669</c:v>
                </c:pt>
                <c:pt idx="71">
                  <c:v>29.229375000000001</c:v>
                </c:pt>
                <c:pt idx="72">
                  <c:v>30.8</c:v>
                </c:pt>
                <c:pt idx="73">
                  <c:v>33.1875</c:v>
                </c:pt>
                <c:pt idx="74">
                  <c:v>37.004666666666672</c:v>
                </c:pt>
                <c:pt idx="75">
                  <c:v>37.96</c:v>
                </c:pt>
                <c:pt idx="76">
                  <c:v>38.770000000000003</c:v>
                </c:pt>
                <c:pt idx="77">
                  <c:v>40.809285714285714</c:v>
                </c:pt>
                <c:pt idx="78">
                  <c:v>43.05</c:v>
                </c:pt>
                <c:pt idx="79">
                  <c:v>45.191428571428567</c:v>
                </c:pt>
                <c:pt idx="80">
                  <c:v>44.037692307692296</c:v>
                </c:pt>
                <c:pt idx="81">
                  <c:v>38.246428571428574</c:v>
                </c:pt>
                <c:pt idx="82">
                  <c:v>31.170666666666669</c:v>
                </c:pt>
                <c:pt idx="83">
                  <c:v>29.229375000000001</c:v>
                </c:pt>
                <c:pt idx="84">
                  <c:v>30.8</c:v>
                </c:pt>
                <c:pt idx="85">
                  <c:v>33.1875</c:v>
                </c:pt>
                <c:pt idx="86">
                  <c:v>37.004666666666672</c:v>
                </c:pt>
                <c:pt idx="87">
                  <c:v>37.96</c:v>
                </c:pt>
                <c:pt idx="88">
                  <c:v>38.770000000000003</c:v>
                </c:pt>
                <c:pt idx="89">
                  <c:v>40.809285714285714</c:v>
                </c:pt>
                <c:pt idx="90">
                  <c:v>43.05</c:v>
                </c:pt>
                <c:pt idx="91">
                  <c:v>45.191428571428567</c:v>
                </c:pt>
                <c:pt idx="92">
                  <c:v>44.037692307692296</c:v>
                </c:pt>
                <c:pt idx="93">
                  <c:v>38.246428571428574</c:v>
                </c:pt>
                <c:pt idx="94">
                  <c:v>31.170666666666669</c:v>
                </c:pt>
                <c:pt idx="95">
                  <c:v>29.229375000000001</c:v>
                </c:pt>
                <c:pt idx="96">
                  <c:v>30.8</c:v>
                </c:pt>
                <c:pt idx="97">
                  <c:v>33.1875</c:v>
                </c:pt>
                <c:pt idx="98">
                  <c:v>37.004666666666672</c:v>
                </c:pt>
                <c:pt idx="99">
                  <c:v>37.96</c:v>
                </c:pt>
                <c:pt idx="100">
                  <c:v>38.770000000000003</c:v>
                </c:pt>
                <c:pt idx="101">
                  <c:v>40.809285714285714</c:v>
                </c:pt>
                <c:pt idx="102">
                  <c:v>43.05</c:v>
                </c:pt>
                <c:pt idx="103">
                  <c:v>45.191428571428567</c:v>
                </c:pt>
                <c:pt idx="104">
                  <c:v>44.037692307692296</c:v>
                </c:pt>
                <c:pt idx="105">
                  <c:v>38.246428571428574</c:v>
                </c:pt>
                <c:pt idx="106">
                  <c:v>31.170666666666669</c:v>
                </c:pt>
                <c:pt idx="107">
                  <c:v>29.229375000000001</c:v>
                </c:pt>
                <c:pt idx="108">
                  <c:v>30.8</c:v>
                </c:pt>
                <c:pt idx="109">
                  <c:v>33.1875</c:v>
                </c:pt>
                <c:pt idx="110">
                  <c:v>37.004666666666672</c:v>
                </c:pt>
                <c:pt idx="111">
                  <c:v>37.96</c:v>
                </c:pt>
                <c:pt idx="112">
                  <c:v>38.770000000000003</c:v>
                </c:pt>
                <c:pt idx="113">
                  <c:v>40.809285714285714</c:v>
                </c:pt>
                <c:pt idx="114">
                  <c:v>43.05</c:v>
                </c:pt>
                <c:pt idx="115">
                  <c:v>45.191428571428567</c:v>
                </c:pt>
                <c:pt idx="116">
                  <c:v>44.037692307692296</c:v>
                </c:pt>
                <c:pt idx="117">
                  <c:v>38.246428571428574</c:v>
                </c:pt>
                <c:pt idx="118">
                  <c:v>31.170666666666669</c:v>
                </c:pt>
                <c:pt idx="119">
                  <c:v>29.229375000000001</c:v>
                </c:pt>
                <c:pt idx="120">
                  <c:v>30.8</c:v>
                </c:pt>
                <c:pt idx="121">
                  <c:v>33.1875</c:v>
                </c:pt>
                <c:pt idx="122">
                  <c:v>37.004666666666672</c:v>
                </c:pt>
                <c:pt idx="123">
                  <c:v>37.96</c:v>
                </c:pt>
                <c:pt idx="124">
                  <c:v>38.770000000000003</c:v>
                </c:pt>
                <c:pt idx="125">
                  <c:v>40.809285714285714</c:v>
                </c:pt>
                <c:pt idx="126">
                  <c:v>43.05</c:v>
                </c:pt>
                <c:pt idx="127">
                  <c:v>45.191428571428567</c:v>
                </c:pt>
                <c:pt idx="128">
                  <c:v>44.037692307692296</c:v>
                </c:pt>
                <c:pt idx="129">
                  <c:v>38.246428571428574</c:v>
                </c:pt>
                <c:pt idx="130">
                  <c:v>31.170666666666669</c:v>
                </c:pt>
                <c:pt idx="131">
                  <c:v>29.229375000000001</c:v>
                </c:pt>
                <c:pt idx="132">
                  <c:v>30.8</c:v>
                </c:pt>
                <c:pt idx="133">
                  <c:v>33.1875</c:v>
                </c:pt>
                <c:pt idx="134">
                  <c:v>37.004666666666672</c:v>
                </c:pt>
                <c:pt idx="135">
                  <c:v>37.96</c:v>
                </c:pt>
                <c:pt idx="136">
                  <c:v>38.770000000000003</c:v>
                </c:pt>
                <c:pt idx="137">
                  <c:v>40.809285714285714</c:v>
                </c:pt>
                <c:pt idx="138">
                  <c:v>43.05</c:v>
                </c:pt>
                <c:pt idx="139">
                  <c:v>45.191428571428567</c:v>
                </c:pt>
                <c:pt idx="140">
                  <c:v>44.037692307692296</c:v>
                </c:pt>
                <c:pt idx="141">
                  <c:v>38.246428571428574</c:v>
                </c:pt>
                <c:pt idx="142">
                  <c:v>31.170666666666669</c:v>
                </c:pt>
                <c:pt idx="143">
                  <c:v>29.229375000000001</c:v>
                </c:pt>
                <c:pt idx="144">
                  <c:v>30.8</c:v>
                </c:pt>
                <c:pt idx="145">
                  <c:v>33.1875</c:v>
                </c:pt>
                <c:pt idx="146">
                  <c:v>37.004666666666672</c:v>
                </c:pt>
                <c:pt idx="147">
                  <c:v>37.96</c:v>
                </c:pt>
                <c:pt idx="148">
                  <c:v>38.770000000000003</c:v>
                </c:pt>
                <c:pt idx="149">
                  <c:v>40.809285714285714</c:v>
                </c:pt>
                <c:pt idx="150">
                  <c:v>43.05</c:v>
                </c:pt>
                <c:pt idx="151">
                  <c:v>45.191428571428567</c:v>
                </c:pt>
                <c:pt idx="152">
                  <c:v>44.037692307692296</c:v>
                </c:pt>
                <c:pt idx="153">
                  <c:v>38.246428571428574</c:v>
                </c:pt>
                <c:pt idx="154">
                  <c:v>31.170666666666669</c:v>
                </c:pt>
                <c:pt idx="155">
                  <c:v>29.229375000000001</c:v>
                </c:pt>
                <c:pt idx="156">
                  <c:v>30.8</c:v>
                </c:pt>
                <c:pt idx="157">
                  <c:v>33.1875</c:v>
                </c:pt>
                <c:pt idx="158">
                  <c:v>37.004666666666672</c:v>
                </c:pt>
                <c:pt idx="159">
                  <c:v>37.96</c:v>
                </c:pt>
                <c:pt idx="160">
                  <c:v>38.770000000000003</c:v>
                </c:pt>
                <c:pt idx="161">
                  <c:v>40.809285714285714</c:v>
                </c:pt>
                <c:pt idx="162">
                  <c:v>43.05</c:v>
                </c:pt>
                <c:pt idx="163">
                  <c:v>45.191428571428567</c:v>
                </c:pt>
                <c:pt idx="164">
                  <c:v>44.037692307692296</c:v>
                </c:pt>
                <c:pt idx="165">
                  <c:v>38.246428571428574</c:v>
                </c:pt>
                <c:pt idx="166">
                  <c:v>31.170666666666669</c:v>
                </c:pt>
                <c:pt idx="167">
                  <c:v>29.229375000000001</c:v>
                </c:pt>
                <c:pt idx="168">
                  <c:v>30.8</c:v>
                </c:pt>
                <c:pt idx="169">
                  <c:v>33.1875</c:v>
                </c:pt>
                <c:pt idx="170">
                  <c:v>37.004666666666672</c:v>
                </c:pt>
                <c:pt idx="171">
                  <c:v>37.96</c:v>
                </c:pt>
                <c:pt idx="172">
                  <c:v>38.770000000000003</c:v>
                </c:pt>
                <c:pt idx="173">
                  <c:v>40.809285714285714</c:v>
                </c:pt>
                <c:pt idx="174">
                  <c:v>43.05</c:v>
                </c:pt>
                <c:pt idx="175">
                  <c:v>45.191428571428567</c:v>
                </c:pt>
                <c:pt idx="176">
                  <c:v>44.037692307692296</c:v>
                </c:pt>
                <c:pt idx="177">
                  <c:v>38.246428571428574</c:v>
                </c:pt>
                <c:pt idx="178">
                  <c:v>31.170666666666669</c:v>
                </c:pt>
                <c:pt idx="179">
                  <c:v>29.229375000000001</c:v>
                </c:pt>
                <c:pt idx="180">
                  <c:v>30.8</c:v>
                </c:pt>
                <c:pt idx="181">
                  <c:v>33.1875</c:v>
                </c:pt>
                <c:pt idx="182">
                  <c:v>37.004666666666672</c:v>
                </c:pt>
                <c:pt idx="183">
                  <c:v>37.96</c:v>
                </c:pt>
                <c:pt idx="184">
                  <c:v>38.770000000000003</c:v>
                </c:pt>
                <c:pt idx="185">
                  <c:v>40.809285714285714</c:v>
                </c:pt>
                <c:pt idx="186">
                  <c:v>43.05</c:v>
                </c:pt>
                <c:pt idx="187">
                  <c:v>45.191428571428567</c:v>
                </c:pt>
                <c:pt idx="188">
                  <c:v>44.037692307692296</c:v>
                </c:pt>
                <c:pt idx="189">
                  <c:v>38.246428571428574</c:v>
                </c:pt>
                <c:pt idx="190">
                  <c:v>31.170666666666669</c:v>
                </c:pt>
                <c:pt idx="191">
                  <c:v>29.229375000000001</c:v>
                </c:pt>
                <c:pt idx="192">
                  <c:v>30.8</c:v>
                </c:pt>
                <c:pt idx="193">
                  <c:v>33.1875</c:v>
                </c:pt>
                <c:pt idx="194">
                  <c:v>37.004666666666672</c:v>
                </c:pt>
                <c:pt idx="195">
                  <c:v>37.96</c:v>
                </c:pt>
                <c:pt idx="196">
                  <c:v>38.770000000000003</c:v>
                </c:pt>
                <c:pt idx="197">
                  <c:v>40.809285714285714</c:v>
                </c:pt>
                <c:pt idx="198">
                  <c:v>43.05</c:v>
                </c:pt>
                <c:pt idx="199">
                  <c:v>45.191428571428567</c:v>
                </c:pt>
                <c:pt idx="200">
                  <c:v>44.037692307692296</c:v>
                </c:pt>
                <c:pt idx="201">
                  <c:v>38.246428571428574</c:v>
                </c:pt>
                <c:pt idx="202">
                  <c:v>31.170666666666669</c:v>
                </c:pt>
                <c:pt idx="203">
                  <c:v>29.229375000000001</c:v>
                </c:pt>
                <c:pt idx="204">
                  <c:v>30.8</c:v>
                </c:pt>
                <c:pt idx="205">
                  <c:v>33.1875</c:v>
                </c:pt>
                <c:pt idx="206">
                  <c:v>37.004666666666672</c:v>
                </c:pt>
                <c:pt idx="207">
                  <c:v>37.96</c:v>
                </c:pt>
                <c:pt idx="208">
                  <c:v>38.770000000000003</c:v>
                </c:pt>
                <c:pt idx="209">
                  <c:v>40.809285714285714</c:v>
                </c:pt>
                <c:pt idx="210">
                  <c:v>43.05</c:v>
                </c:pt>
                <c:pt idx="211">
                  <c:v>45.191428571428567</c:v>
                </c:pt>
                <c:pt idx="212">
                  <c:v>44.037692307692296</c:v>
                </c:pt>
                <c:pt idx="213">
                  <c:v>38.246428571428574</c:v>
                </c:pt>
                <c:pt idx="214">
                  <c:v>31.170666666666669</c:v>
                </c:pt>
                <c:pt idx="215">
                  <c:v>29.229375000000001</c:v>
                </c:pt>
                <c:pt idx="216">
                  <c:v>30.8</c:v>
                </c:pt>
                <c:pt idx="217">
                  <c:v>33.1875</c:v>
                </c:pt>
                <c:pt idx="218">
                  <c:v>37.004666666666672</c:v>
                </c:pt>
                <c:pt idx="219">
                  <c:v>37.96</c:v>
                </c:pt>
                <c:pt idx="220">
                  <c:v>38.770000000000003</c:v>
                </c:pt>
                <c:pt idx="221">
                  <c:v>40.809285714285714</c:v>
                </c:pt>
                <c:pt idx="222">
                  <c:v>43.05</c:v>
                </c:pt>
                <c:pt idx="223">
                  <c:v>45.191428571428567</c:v>
                </c:pt>
                <c:pt idx="224">
                  <c:v>44.037692307692296</c:v>
                </c:pt>
                <c:pt idx="225">
                  <c:v>38.246428571428574</c:v>
                </c:pt>
                <c:pt idx="226">
                  <c:v>31.170666666666669</c:v>
                </c:pt>
                <c:pt idx="227">
                  <c:v>29.229375000000001</c:v>
                </c:pt>
                <c:pt idx="228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9-451D-A01D-B58C283B90B4}"/>
            </c:ext>
          </c:extLst>
        </c:ser>
        <c:ser>
          <c:idx val="0"/>
          <c:order val="1"/>
          <c:tx>
            <c:v>measured</c:v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flows'!$F$4:$F$235</c:f>
              <c:numCache>
                <c:formatCode>0.0000</c:formatCode>
                <c:ptCount val="232"/>
                <c:pt idx="0">
                  <c:v>17.98</c:v>
                </c:pt>
                <c:pt idx="1">
                  <c:v>20.92</c:v>
                </c:pt>
                <c:pt idx="2">
                  <c:v>22.7</c:v>
                </c:pt>
                <c:pt idx="3">
                  <c:v>25.97</c:v>
                </c:pt>
                <c:pt idx="4">
                  <c:v>29.19</c:v>
                </c:pt>
                <c:pt idx="5">
                  <c:v>30.61</c:v>
                </c:pt>
                <c:pt idx="6">
                  <c:v>36.01</c:v>
                </c:pt>
                <c:pt idx="7">
                  <c:v>48.54</c:v>
                </c:pt>
                <c:pt idx="8">
                  <c:v>45.64</c:v>
                </c:pt>
                <c:pt idx="9">
                  <c:v>40.369999999999997</c:v>
                </c:pt>
                <c:pt idx="10">
                  <c:v>40.17</c:v>
                </c:pt>
                <c:pt idx="11">
                  <c:v>36.950000000000003</c:v>
                </c:pt>
                <c:pt idx="12">
                  <c:v>36.340000000000003</c:v>
                </c:pt>
                <c:pt idx="13">
                  <c:v>37.17</c:v>
                </c:pt>
                <c:pt idx="14">
                  <c:v>35.22</c:v>
                </c:pt>
                <c:pt idx="15">
                  <c:v>32.14</c:v>
                </c:pt>
                <c:pt idx="16">
                  <c:v>29.69</c:v>
                </c:pt>
                <c:pt idx="17">
                  <c:v>27.19</c:v>
                </c:pt>
                <c:pt idx="18">
                  <c:v>25.73</c:v>
                </c:pt>
                <c:pt idx="19">
                  <c:v>24.75</c:v>
                </c:pt>
                <c:pt idx="20">
                  <c:v>23.23</c:v>
                </c:pt>
                <c:pt idx="21">
                  <c:v>21.83</c:v>
                </c:pt>
                <c:pt idx="22">
                  <c:v>20.3</c:v>
                </c:pt>
                <c:pt idx="23">
                  <c:v>19.809999999999999</c:v>
                </c:pt>
                <c:pt idx="24">
                  <c:v>20.95</c:v>
                </c:pt>
                <c:pt idx="25">
                  <c:v>23.17</c:v>
                </c:pt>
                <c:pt idx="26">
                  <c:v>21.49</c:v>
                </c:pt>
                <c:pt idx="27">
                  <c:v>21.44</c:v>
                </c:pt>
                <c:pt idx="28">
                  <c:v>21.67</c:v>
                </c:pt>
                <c:pt idx="29">
                  <c:v>21.16</c:v>
                </c:pt>
                <c:pt idx="30">
                  <c:v>20.94</c:v>
                </c:pt>
                <c:pt idx="31">
                  <c:v>19.88</c:v>
                </c:pt>
                <c:pt idx="32">
                  <c:v>18.600000000000001</c:v>
                </c:pt>
                <c:pt idx="33">
                  <c:v>16.850000000000001</c:v>
                </c:pt>
                <c:pt idx="34">
                  <c:v>15.86</c:v>
                </c:pt>
                <c:pt idx="35">
                  <c:v>17.66</c:v>
                </c:pt>
                <c:pt idx="36">
                  <c:v>19.43</c:v>
                </c:pt>
                <c:pt idx="37">
                  <c:v>20.57</c:v>
                </c:pt>
                <c:pt idx="46">
                  <c:v>25.36</c:v>
                </c:pt>
                <c:pt idx="47">
                  <c:v>25.07</c:v>
                </c:pt>
                <c:pt idx="48">
                  <c:v>24.24</c:v>
                </c:pt>
                <c:pt idx="49">
                  <c:v>24.16</c:v>
                </c:pt>
                <c:pt idx="50">
                  <c:v>24.05</c:v>
                </c:pt>
                <c:pt idx="51">
                  <c:v>24.79</c:v>
                </c:pt>
                <c:pt idx="52">
                  <c:v>23.84</c:v>
                </c:pt>
                <c:pt idx="69">
                  <c:v>36.21</c:v>
                </c:pt>
                <c:pt idx="70">
                  <c:v>35.81</c:v>
                </c:pt>
                <c:pt idx="71">
                  <c:v>35.270000000000003</c:v>
                </c:pt>
                <c:pt idx="72">
                  <c:v>35.380000000000003</c:v>
                </c:pt>
                <c:pt idx="73">
                  <c:v>36.92</c:v>
                </c:pt>
                <c:pt idx="74">
                  <c:v>37.630000000000003</c:v>
                </c:pt>
                <c:pt idx="75">
                  <c:v>38.840000000000003</c:v>
                </c:pt>
                <c:pt idx="76">
                  <c:v>37.270000000000003</c:v>
                </c:pt>
                <c:pt idx="77">
                  <c:v>36.51</c:v>
                </c:pt>
                <c:pt idx="78">
                  <c:v>35.86</c:v>
                </c:pt>
                <c:pt idx="79">
                  <c:v>35.14</c:v>
                </c:pt>
                <c:pt idx="80">
                  <c:v>34.380000000000003</c:v>
                </c:pt>
                <c:pt idx="81">
                  <c:v>33.83</c:v>
                </c:pt>
                <c:pt idx="82">
                  <c:v>33.409999999999997</c:v>
                </c:pt>
                <c:pt idx="83">
                  <c:v>34.76</c:v>
                </c:pt>
                <c:pt idx="84">
                  <c:v>41.48</c:v>
                </c:pt>
                <c:pt idx="85">
                  <c:v>54.03</c:v>
                </c:pt>
                <c:pt idx="86">
                  <c:v>71.48</c:v>
                </c:pt>
                <c:pt idx="87">
                  <c:v>57.96</c:v>
                </c:pt>
                <c:pt idx="88">
                  <c:v>50.66</c:v>
                </c:pt>
                <c:pt idx="89">
                  <c:v>62.37</c:v>
                </c:pt>
                <c:pt idx="90">
                  <c:v>71.12</c:v>
                </c:pt>
                <c:pt idx="91">
                  <c:v>67.7</c:v>
                </c:pt>
                <c:pt idx="92">
                  <c:v>56.8</c:v>
                </c:pt>
                <c:pt idx="93">
                  <c:v>45.05</c:v>
                </c:pt>
                <c:pt idx="94">
                  <c:v>42.31</c:v>
                </c:pt>
                <c:pt idx="95">
                  <c:v>42.58</c:v>
                </c:pt>
                <c:pt idx="96">
                  <c:v>42.88</c:v>
                </c:pt>
                <c:pt idx="97">
                  <c:v>44.42</c:v>
                </c:pt>
                <c:pt idx="98">
                  <c:v>48.86</c:v>
                </c:pt>
                <c:pt idx="99">
                  <c:v>51.99</c:v>
                </c:pt>
                <c:pt idx="100">
                  <c:v>63.55</c:v>
                </c:pt>
                <c:pt idx="101">
                  <c:v>85.7</c:v>
                </c:pt>
                <c:pt idx="102">
                  <c:v>79.95</c:v>
                </c:pt>
                <c:pt idx="103">
                  <c:v>72.27</c:v>
                </c:pt>
                <c:pt idx="104">
                  <c:v>63.09</c:v>
                </c:pt>
                <c:pt idx="105">
                  <c:v>55.62</c:v>
                </c:pt>
                <c:pt idx="106">
                  <c:v>44.83</c:v>
                </c:pt>
                <c:pt idx="107">
                  <c:v>42.87</c:v>
                </c:pt>
                <c:pt idx="108">
                  <c:v>42.32</c:v>
                </c:pt>
                <c:pt idx="111">
                  <c:v>43.22</c:v>
                </c:pt>
                <c:pt idx="112">
                  <c:v>45.28</c:v>
                </c:pt>
                <c:pt idx="113">
                  <c:v>51.03</c:v>
                </c:pt>
                <c:pt idx="114">
                  <c:v>73.760000000000005</c:v>
                </c:pt>
                <c:pt idx="115">
                  <c:v>73.27</c:v>
                </c:pt>
                <c:pt idx="116">
                  <c:v>64.88</c:v>
                </c:pt>
                <c:pt idx="117">
                  <c:v>53.08</c:v>
                </c:pt>
                <c:pt idx="118">
                  <c:v>44.94</c:v>
                </c:pt>
                <c:pt idx="119">
                  <c:v>42.2</c:v>
                </c:pt>
                <c:pt idx="120">
                  <c:v>39.19</c:v>
                </c:pt>
                <c:pt idx="121">
                  <c:v>44.16</c:v>
                </c:pt>
                <c:pt idx="122">
                  <c:v>51.23</c:v>
                </c:pt>
                <c:pt idx="123">
                  <c:v>50.23</c:v>
                </c:pt>
                <c:pt idx="124">
                  <c:v>44.04</c:v>
                </c:pt>
                <c:pt idx="125">
                  <c:v>42.25</c:v>
                </c:pt>
                <c:pt idx="126">
                  <c:v>46.2</c:v>
                </c:pt>
                <c:pt idx="127">
                  <c:v>54.24</c:v>
                </c:pt>
                <c:pt idx="128">
                  <c:v>54.64</c:v>
                </c:pt>
                <c:pt idx="129">
                  <c:v>48.87</c:v>
                </c:pt>
                <c:pt idx="130">
                  <c:v>42.24</c:v>
                </c:pt>
                <c:pt idx="131">
                  <c:v>44.28</c:v>
                </c:pt>
                <c:pt idx="132">
                  <c:v>42.79</c:v>
                </c:pt>
                <c:pt idx="133">
                  <c:v>50.54</c:v>
                </c:pt>
                <c:pt idx="134">
                  <c:v>48.65</c:v>
                </c:pt>
                <c:pt idx="135">
                  <c:v>44</c:v>
                </c:pt>
                <c:pt idx="145">
                  <c:v>37.78</c:v>
                </c:pt>
                <c:pt idx="146">
                  <c:v>37.22</c:v>
                </c:pt>
                <c:pt idx="147">
                  <c:v>37.99</c:v>
                </c:pt>
                <c:pt idx="148">
                  <c:v>61.18</c:v>
                </c:pt>
                <c:pt idx="149">
                  <c:v>67.489999999999995</c:v>
                </c:pt>
                <c:pt idx="150">
                  <c:v>61.89</c:v>
                </c:pt>
                <c:pt idx="151">
                  <c:v>52.47</c:v>
                </c:pt>
                <c:pt idx="152">
                  <c:v>42.91</c:v>
                </c:pt>
                <c:pt idx="153">
                  <c:v>34.979999999999997</c:v>
                </c:pt>
                <c:pt idx="154">
                  <c:v>28.89</c:v>
                </c:pt>
                <c:pt idx="155">
                  <c:v>32.340000000000003</c:v>
                </c:pt>
                <c:pt idx="156">
                  <c:v>40.07</c:v>
                </c:pt>
                <c:pt idx="157">
                  <c:v>38.479999999999997</c:v>
                </c:pt>
                <c:pt idx="158">
                  <c:v>42.56</c:v>
                </c:pt>
                <c:pt idx="159">
                  <c:v>39.520000000000003</c:v>
                </c:pt>
                <c:pt idx="160">
                  <c:v>37.06</c:v>
                </c:pt>
                <c:pt idx="161">
                  <c:v>35.130000000000003</c:v>
                </c:pt>
                <c:pt idx="162">
                  <c:v>35.619999999999997</c:v>
                </c:pt>
                <c:pt idx="163">
                  <c:v>37.479999999999997</c:v>
                </c:pt>
                <c:pt idx="179">
                  <c:v>17.71</c:v>
                </c:pt>
                <c:pt idx="180">
                  <c:v>18.079999999999998</c:v>
                </c:pt>
                <c:pt idx="181">
                  <c:v>18.22</c:v>
                </c:pt>
                <c:pt idx="182">
                  <c:v>19.61</c:v>
                </c:pt>
                <c:pt idx="183">
                  <c:v>19.079999999999998</c:v>
                </c:pt>
                <c:pt idx="184">
                  <c:v>18.510000000000002</c:v>
                </c:pt>
                <c:pt idx="185">
                  <c:v>18.649999999999999</c:v>
                </c:pt>
                <c:pt idx="186">
                  <c:v>18.89</c:v>
                </c:pt>
                <c:pt idx="187">
                  <c:v>18.78</c:v>
                </c:pt>
                <c:pt idx="188">
                  <c:v>17.95</c:v>
                </c:pt>
                <c:pt idx="189">
                  <c:v>16.18</c:v>
                </c:pt>
                <c:pt idx="190">
                  <c:v>15.09</c:v>
                </c:pt>
                <c:pt idx="191">
                  <c:v>17.82</c:v>
                </c:pt>
                <c:pt idx="192">
                  <c:v>22.38</c:v>
                </c:pt>
                <c:pt idx="193">
                  <c:v>25.83</c:v>
                </c:pt>
                <c:pt idx="194">
                  <c:v>30.53</c:v>
                </c:pt>
                <c:pt idx="195">
                  <c:v>29</c:v>
                </c:pt>
                <c:pt idx="196">
                  <c:v>29.12</c:v>
                </c:pt>
                <c:pt idx="197">
                  <c:v>27.73</c:v>
                </c:pt>
                <c:pt idx="198">
                  <c:v>31.36</c:v>
                </c:pt>
                <c:pt idx="199">
                  <c:v>35.380000000000003</c:v>
                </c:pt>
                <c:pt idx="200">
                  <c:v>33.21</c:v>
                </c:pt>
                <c:pt idx="201">
                  <c:v>28.62</c:v>
                </c:pt>
                <c:pt idx="202">
                  <c:v>24.91</c:v>
                </c:pt>
                <c:pt idx="203">
                  <c:v>24.26</c:v>
                </c:pt>
                <c:pt idx="204">
                  <c:v>23.99</c:v>
                </c:pt>
                <c:pt idx="205">
                  <c:v>27.88</c:v>
                </c:pt>
                <c:pt idx="206">
                  <c:v>37.5</c:v>
                </c:pt>
                <c:pt idx="207">
                  <c:v>68.89</c:v>
                </c:pt>
                <c:pt idx="208">
                  <c:v>65.41</c:v>
                </c:pt>
                <c:pt idx="209">
                  <c:v>45.98</c:v>
                </c:pt>
                <c:pt idx="210">
                  <c:v>47.04</c:v>
                </c:pt>
                <c:pt idx="211">
                  <c:v>70.739999999999995</c:v>
                </c:pt>
                <c:pt idx="212">
                  <c:v>94.24</c:v>
                </c:pt>
                <c:pt idx="213">
                  <c:v>90.46</c:v>
                </c:pt>
                <c:pt idx="214">
                  <c:v>44.47</c:v>
                </c:pt>
                <c:pt idx="215">
                  <c:v>29.27</c:v>
                </c:pt>
                <c:pt idx="216">
                  <c:v>25.3</c:v>
                </c:pt>
                <c:pt idx="217">
                  <c:v>26.75</c:v>
                </c:pt>
                <c:pt idx="218">
                  <c:v>26.34</c:v>
                </c:pt>
                <c:pt idx="219">
                  <c:v>22.3</c:v>
                </c:pt>
                <c:pt idx="220">
                  <c:v>25.08</c:v>
                </c:pt>
                <c:pt idx="221">
                  <c:v>19.53</c:v>
                </c:pt>
                <c:pt idx="222">
                  <c:v>18.329999999999998</c:v>
                </c:pt>
                <c:pt idx="223">
                  <c:v>22.04</c:v>
                </c:pt>
                <c:pt idx="224">
                  <c:v>22.92</c:v>
                </c:pt>
                <c:pt idx="225">
                  <c:v>13.5</c:v>
                </c:pt>
                <c:pt idx="226">
                  <c:v>8.9700000000000006</c:v>
                </c:pt>
                <c:pt idx="227">
                  <c:v>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9-451D-A01D-B58C283B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1071286892603582"/>
          <c:w val="0.23212602058539014"/>
          <c:h val="0.38928713107396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Okavango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Mukwe</c:v>
          </c:tx>
          <c:spPr>
            <a:solidFill>
              <a:schemeClr val="accent6"/>
            </a:solidFill>
            <a:ln w="0">
              <a:solidFill>
                <a:schemeClr val="accent6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flows'!$O$4:$O$231</c:f>
              <c:numCache>
                <c:formatCode>0.0000</c:formatCode>
                <c:ptCount val="228"/>
                <c:pt idx="0">
                  <c:v>125.17</c:v>
                </c:pt>
                <c:pt idx="1">
                  <c:v>222.15</c:v>
                </c:pt>
                <c:pt idx="2">
                  <c:v>459.71</c:v>
                </c:pt>
                <c:pt idx="3">
                  <c:v>736.26</c:v>
                </c:pt>
                <c:pt idx="4">
                  <c:v>798.52</c:v>
                </c:pt>
                <c:pt idx="5">
                  <c:v>407.53</c:v>
                </c:pt>
                <c:pt idx="6">
                  <c:v>289.33</c:v>
                </c:pt>
                <c:pt idx="7">
                  <c:v>212.32</c:v>
                </c:pt>
                <c:pt idx="8">
                  <c:v>170.37</c:v>
                </c:pt>
                <c:pt idx="9">
                  <c:v>132.13</c:v>
                </c:pt>
                <c:pt idx="10">
                  <c:v>115.27</c:v>
                </c:pt>
                <c:pt idx="11">
                  <c:v>162.91</c:v>
                </c:pt>
                <c:pt idx="12">
                  <c:v>184.59</c:v>
                </c:pt>
                <c:pt idx="13">
                  <c:v>262.89999999999998</c:v>
                </c:pt>
                <c:pt idx="14">
                  <c:v>405.3</c:v>
                </c:pt>
                <c:pt idx="15">
                  <c:v>540.46</c:v>
                </c:pt>
                <c:pt idx="16">
                  <c:v>448.35</c:v>
                </c:pt>
                <c:pt idx="17">
                  <c:v>313.27999999999997</c:v>
                </c:pt>
                <c:pt idx="18">
                  <c:v>236</c:v>
                </c:pt>
                <c:pt idx="19">
                  <c:v>192.43</c:v>
                </c:pt>
                <c:pt idx="20">
                  <c:v>155.78</c:v>
                </c:pt>
                <c:pt idx="21">
                  <c:v>125.36</c:v>
                </c:pt>
                <c:pt idx="22">
                  <c:v>109.65</c:v>
                </c:pt>
                <c:pt idx="23">
                  <c:v>156.81</c:v>
                </c:pt>
                <c:pt idx="24">
                  <c:v>213.08</c:v>
                </c:pt>
                <c:pt idx="25">
                  <c:v>366.98</c:v>
                </c:pt>
                <c:pt idx="26">
                  <c:v>509.8</c:v>
                </c:pt>
                <c:pt idx="27">
                  <c:v>401.93</c:v>
                </c:pt>
                <c:pt idx="28">
                  <c:v>364.43</c:v>
                </c:pt>
                <c:pt idx="29">
                  <c:v>264.33999999999997</c:v>
                </c:pt>
                <c:pt idx="30">
                  <c:v>200.32</c:v>
                </c:pt>
                <c:pt idx="31">
                  <c:v>161.69999999999999</c:v>
                </c:pt>
                <c:pt idx="32">
                  <c:v>132.91999999999999</c:v>
                </c:pt>
                <c:pt idx="33">
                  <c:v>103.08</c:v>
                </c:pt>
                <c:pt idx="34">
                  <c:v>105.69</c:v>
                </c:pt>
                <c:pt idx="35">
                  <c:v>215.43</c:v>
                </c:pt>
                <c:pt idx="36">
                  <c:v>728.8</c:v>
                </c:pt>
                <c:pt idx="37">
                  <c:v>1064.31</c:v>
                </c:pt>
                <c:pt idx="38">
                  <c:v>926.6</c:v>
                </c:pt>
                <c:pt idx="39">
                  <c:v>738.23</c:v>
                </c:pt>
                <c:pt idx="40">
                  <c:v>576.83000000000004</c:v>
                </c:pt>
                <c:pt idx="41">
                  <c:v>381.7</c:v>
                </c:pt>
                <c:pt idx="42">
                  <c:v>302.02999999999997</c:v>
                </c:pt>
                <c:pt idx="43">
                  <c:v>224.75</c:v>
                </c:pt>
                <c:pt idx="44">
                  <c:v>183.3</c:v>
                </c:pt>
                <c:pt idx="45">
                  <c:v>149.99</c:v>
                </c:pt>
                <c:pt idx="46">
                  <c:v>139.77000000000001</c:v>
                </c:pt>
                <c:pt idx="47">
                  <c:v>185</c:v>
                </c:pt>
                <c:pt idx="48">
                  <c:v>224.07</c:v>
                </c:pt>
                <c:pt idx="49">
                  <c:v>405.24</c:v>
                </c:pt>
                <c:pt idx="50">
                  <c:v>509.2</c:v>
                </c:pt>
                <c:pt idx="51">
                  <c:v>694.55</c:v>
                </c:pt>
                <c:pt idx="52">
                  <c:v>602.26</c:v>
                </c:pt>
                <c:pt idx="53">
                  <c:v>359.85</c:v>
                </c:pt>
                <c:pt idx="54">
                  <c:v>236.7</c:v>
                </c:pt>
                <c:pt idx="55">
                  <c:v>178.42</c:v>
                </c:pt>
                <c:pt idx="56">
                  <c:v>150.26</c:v>
                </c:pt>
                <c:pt idx="57">
                  <c:v>124.84</c:v>
                </c:pt>
                <c:pt idx="58">
                  <c:v>129.72999999999999</c:v>
                </c:pt>
                <c:pt idx="59">
                  <c:v>167.25</c:v>
                </c:pt>
                <c:pt idx="60">
                  <c:v>244.15</c:v>
                </c:pt>
                <c:pt idx="61">
                  <c:v>312.08999999999997</c:v>
                </c:pt>
                <c:pt idx="62">
                  <c:v>375.6</c:v>
                </c:pt>
                <c:pt idx="63">
                  <c:v>486.9</c:v>
                </c:pt>
                <c:pt idx="64">
                  <c:v>523.26</c:v>
                </c:pt>
                <c:pt idx="65">
                  <c:v>381.98</c:v>
                </c:pt>
                <c:pt idx="66">
                  <c:v>267.5</c:v>
                </c:pt>
                <c:pt idx="67">
                  <c:v>207.83</c:v>
                </c:pt>
                <c:pt idx="68">
                  <c:v>173.82</c:v>
                </c:pt>
                <c:pt idx="69">
                  <c:v>150.61000000000001</c:v>
                </c:pt>
                <c:pt idx="70">
                  <c:v>186.37</c:v>
                </c:pt>
                <c:pt idx="71">
                  <c:v>289.8</c:v>
                </c:pt>
                <c:pt idx="72">
                  <c:v>497.86</c:v>
                </c:pt>
                <c:pt idx="73">
                  <c:v>510.08</c:v>
                </c:pt>
                <c:pt idx="74">
                  <c:v>642.38</c:v>
                </c:pt>
                <c:pt idx="75">
                  <c:v>845.59</c:v>
                </c:pt>
                <c:pt idx="76">
                  <c:v>496.92</c:v>
                </c:pt>
                <c:pt idx="77">
                  <c:v>361.67</c:v>
                </c:pt>
                <c:pt idx="78">
                  <c:v>309.67</c:v>
                </c:pt>
                <c:pt idx="79">
                  <c:v>281.27</c:v>
                </c:pt>
                <c:pt idx="80">
                  <c:v>232.71</c:v>
                </c:pt>
                <c:pt idx="81">
                  <c:v>180.63</c:v>
                </c:pt>
                <c:pt idx="82">
                  <c:v>142.46</c:v>
                </c:pt>
                <c:pt idx="83">
                  <c:v>164.97</c:v>
                </c:pt>
                <c:pt idx="84">
                  <c:v>203.48</c:v>
                </c:pt>
                <c:pt idx="85">
                  <c:v>357.3</c:v>
                </c:pt>
                <c:pt idx="86">
                  <c:v>450.2</c:v>
                </c:pt>
                <c:pt idx="87">
                  <c:v>562.55999999999995</c:v>
                </c:pt>
                <c:pt idx="88">
                  <c:v>468.57</c:v>
                </c:pt>
                <c:pt idx="89">
                  <c:v>309.85000000000002</c:v>
                </c:pt>
                <c:pt idx="90">
                  <c:v>248.51</c:v>
                </c:pt>
                <c:pt idx="91">
                  <c:v>196.35</c:v>
                </c:pt>
                <c:pt idx="92">
                  <c:v>158.38999999999999</c:v>
                </c:pt>
                <c:pt idx="93">
                  <c:v>124.89</c:v>
                </c:pt>
                <c:pt idx="94">
                  <c:v>127.83</c:v>
                </c:pt>
                <c:pt idx="95">
                  <c:v>262.69</c:v>
                </c:pt>
                <c:pt idx="96">
                  <c:v>479.76</c:v>
                </c:pt>
                <c:pt idx="97">
                  <c:v>536.07000000000005</c:v>
                </c:pt>
                <c:pt idx="98">
                  <c:v>1004.95</c:v>
                </c:pt>
                <c:pt idx="99">
                  <c:v>942.35</c:v>
                </c:pt>
                <c:pt idx="100">
                  <c:v>620.15</c:v>
                </c:pt>
                <c:pt idx="101">
                  <c:v>373.73</c:v>
                </c:pt>
                <c:pt idx="102">
                  <c:v>261.93</c:v>
                </c:pt>
                <c:pt idx="103">
                  <c:v>220.83</c:v>
                </c:pt>
                <c:pt idx="104">
                  <c:v>194.34</c:v>
                </c:pt>
                <c:pt idx="105">
                  <c:v>169.41</c:v>
                </c:pt>
                <c:pt idx="106">
                  <c:v>169.17</c:v>
                </c:pt>
                <c:pt idx="107">
                  <c:v>192.51</c:v>
                </c:pt>
                <c:pt idx="108">
                  <c:v>422.62</c:v>
                </c:pt>
                <c:pt idx="109">
                  <c:v>702.14</c:v>
                </c:pt>
                <c:pt idx="110">
                  <c:v>640.48</c:v>
                </c:pt>
                <c:pt idx="111">
                  <c:v>1169.79</c:v>
                </c:pt>
                <c:pt idx="112">
                  <c:v>884.38</c:v>
                </c:pt>
                <c:pt idx="113">
                  <c:v>509.65</c:v>
                </c:pt>
                <c:pt idx="114">
                  <c:v>371.52</c:v>
                </c:pt>
                <c:pt idx="115">
                  <c:v>286.02</c:v>
                </c:pt>
                <c:pt idx="116">
                  <c:v>222.53</c:v>
                </c:pt>
                <c:pt idx="117">
                  <c:v>170.85</c:v>
                </c:pt>
                <c:pt idx="118">
                  <c:v>146.93</c:v>
                </c:pt>
                <c:pt idx="119">
                  <c:v>302.8</c:v>
                </c:pt>
                <c:pt idx="120">
                  <c:v>643.29999999999995</c:v>
                </c:pt>
                <c:pt idx="121">
                  <c:v>551.57000000000005</c:v>
                </c:pt>
                <c:pt idx="122">
                  <c:v>820.7</c:v>
                </c:pt>
                <c:pt idx="123">
                  <c:v>858.35</c:v>
                </c:pt>
                <c:pt idx="124">
                  <c:v>625.5</c:v>
                </c:pt>
                <c:pt idx="125">
                  <c:v>447.67</c:v>
                </c:pt>
                <c:pt idx="126">
                  <c:v>366.29</c:v>
                </c:pt>
                <c:pt idx="127">
                  <c:v>299.52</c:v>
                </c:pt>
                <c:pt idx="128">
                  <c:v>244.68</c:v>
                </c:pt>
                <c:pt idx="129">
                  <c:v>214.01</c:v>
                </c:pt>
                <c:pt idx="130">
                  <c:v>195.2</c:v>
                </c:pt>
                <c:pt idx="131">
                  <c:v>390.45</c:v>
                </c:pt>
                <c:pt idx="132">
                  <c:v>666.21</c:v>
                </c:pt>
                <c:pt idx="133">
                  <c:v>656.44</c:v>
                </c:pt>
                <c:pt idx="134">
                  <c:v>611.61</c:v>
                </c:pt>
                <c:pt idx="135">
                  <c:v>860.51</c:v>
                </c:pt>
                <c:pt idx="136">
                  <c:v>443.18</c:v>
                </c:pt>
                <c:pt idx="137">
                  <c:v>323.86</c:v>
                </c:pt>
                <c:pt idx="138">
                  <c:v>253.49</c:v>
                </c:pt>
                <c:pt idx="139">
                  <c:v>217.31</c:v>
                </c:pt>
                <c:pt idx="140">
                  <c:v>183.29</c:v>
                </c:pt>
                <c:pt idx="141">
                  <c:v>150.54</c:v>
                </c:pt>
                <c:pt idx="142">
                  <c:v>160.59</c:v>
                </c:pt>
                <c:pt idx="143">
                  <c:v>242</c:v>
                </c:pt>
                <c:pt idx="144">
                  <c:v>406.09</c:v>
                </c:pt>
                <c:pt idx="145">
                  <c:v>426.18</c:v>
                </c:pt>
                <c:pt idx="146">
                  <c:v>581.57000000000005</c:v>
                </c:pt>
                <c:pt idx="147">
                  <c:v>557.01</c:v>
                </c:pt>
                <c:pt idx="148">
                  <c:v>413.4</c:v>
                </c:pt>
                <c:pt idx="149">
                  <c:v>268.5</c:v>
                </c:pt>
                <c:pt idx="150">
                  <c:v>223.55</c:v>
                </c:pt>
                <c:pt idx="151">
                  <c:v>196.4</c:v>
                </c:pt>
                <c:pt idx="152">
                  <c:v>169.07</c:v>
                </c:pt>
                <c:pt idx="153">
                  <c:v>131.6</c:v>
                </c:pt>
                <c:pt idx="154">
                  <c:v>122.27</c:v>
                </c:pt>
                <c:pt idx="155">
                  <c:v>218.54</c:v>
                </c:pt>
                <c:pt idx="156">
                  <c:v>287.33</c:v>
                </c:pt>
                <c:pt idx="157">
                  <c:v>328.46</c:v>
                </c:pt>
                <c:pt idx="158">
                  <c:v>459.29</c:v>
                </c:pt>
                <c:pt idx="159">
                  <c:v>764.47</c:v>
                </c:pt>
                <c:pt idx="160">
                  <c:v>664.31</c:v>
                </c:pt>
                <c:pt idx="161">
                  <c:v>383.26</c:v>
                </c:pt>
                <c:pt idx="162">
                  <c:v>280.26</c:v>
                </c:pt>
                <c:pt idx="163">
                  <c:v>219.29</c:v>
                </c:pt>
                <c:pt idx="164">
                  <c:v>177.88</c:v>
                </c:pt>
                <c:pt idx="165">
                  <c:v>145.22999999999999</c:v>
                </c:pt>
                <c:pt idx="166">
                  <c:v>152</c:v>
                </c:pt>
                <c:pt idx="167">
                  <c:v>280.02</c:v>
                </c:pt>
                <c:pt idx="168">
                  <c:v>375.53</c:v>
                </c:pt>
                <c:pt idx="169">
                  <c:v>544.58000000000004</c:v>
                </c:pt>
                <c:pt idx="170">
                  <c:v>564.95000000000005</c:v>
                </c:pt>
                <c:pt idx="171">
                  <c:v>533.59</c:v>
                </c:pt>
                <c:pt idx="172">
                  <c:v>379.65</c:v>
                </c:pt>
                <c:pt idx="173">
                  <c:v>263.82</c:v>
                </c:pt>
                <c:pt idx="174">
                  <c:v>208.42</c:v>
                </c:pt>
                <c:pt idx="175">
                  <c:v>182.78</c:v>
                </c:pt>
                <c:pt idx="176">
                  <c:v>156.75</c:v>
                </c:pt>
                <c:pt idx="177">
                  <c:v>135.08000000000001</c:v>
                </c:pt>
                <c:pt idx="178">
                  <c:v>115.43</c:v>
                </c:pt>
                <c:pt idx="179">
                  <c:v>127.17</c:v>
                </c:pt>
                <c:pt idx="180">
                  <c:v>247.48</c:v>
                </c:pt>
                <c:pt idx="181">
                  <c:v>378.16</c:v>
                </c:pt>
                <c:pt idx="182">
                  <c:v>468.22</c:v>
                </c:pt>
                <c:pt idx="183">
                  <c:v>792.43</c:v>
                </c:pt>
                <c:pt idx="184">
                  <c:v>514.29</c:v>
                </c:pt>
                <c:pt idx="185">
                  <c:v>314.87</c:v>
                </c:pt>
                <c:pt idx="186">
                  <c:v>240.35</c:v>
                </c:pt>
                <c:pt idx="187">
                  <c:v>207.48</c:v>
                </c:pt>
                <c:pt idx="188">
                  <c:v>175.75</c:v>
                </c:pt>
                <c:pt idx="189">
                  <c:v>160.72</c:v>
                </c:pt>
                <c:pt idx="190">
                  <c:v>167.68</c:v>
                </c:pt>
                <c:pt idx="191">
                  <c:v>310.14999999999998</c:v>
                </c:pt>
                <c:pt idx="192">
                  <c:v>479.1</c:v>
                </c:pt>
                <c:pt idx="193">
                  <c:v>433.31</c:v>
                </c:pt>
                <c:pt idx="194">
                  <c:v>509.37</c:v>
                </c:pt>
                <c:pt idx="195">
                  <c:v>490.94</c:v>
                </c:pt>
                <c:pt idx="196">
                  <c:v>352.87</c:v>
                </c:pt>
                <c:pt idx="197">
                  <c:v>250.26</c:v>
                </c:pt>
                <c:pt idx="198">
                  <c:v>206.51</c:v>
                </c:pt>
                <c:pt idx="199">
                  <c:v>184.44</c:v>
                </c:pt>
                <c:pt idx="200">
                  <c:v>156.58000000000001</c:v>
                </c:pt>
                <c:pt idx="201">
                  <c:v>133.62</c:v>
                </c:pt>
                <c:pt idx="202">
                  <c:v>141.08000000000001</c:v>
                </c:pt>
                <c:pt idx="203">
                  <c:v>178.72</c:v>
                </c:pt>
                <c:pt idx="204">
                  <c:v>277.58</c:v>
                </c:pt>
                <c:pt idx="205">
                  <c:v>500.89</c:v>
                </c:pt>
                <c:pt idx="206">
                  <c:v>536.77</c:v>
                </c:pt>
                <c:pt idx="207">
                  <c:v>741.72</c:v>
                </c:pt>
                <c:pt idx="208">
                  <c:v>683.76</c:v>
                </c:pt>
                <c:pt idx="209">
                  <c:v>369.38</c:v>
                </c:pt>
                <c:pt idx="210">
                  <c:v>221.54</c:v>
                </c:pt>
                <c:pt idx="211">
                  <c:v>162.80000000000001</c:v>
                </c:pt>
                <c:pt idx="212">
                  <c:v>132.29</c:v>
                </c:pt>
                <c:pt idx="213">
                  <c:v>107.82</c:v>
                </c:pt>
                <c:pt idx="214">
                  <c:v>110.27</c:v>
                </c:pt>
                <c:pt idx="215">
                  <c:v>130.38</c:v>
                </c:pt>
                <c:pt idx="216">
                  <c:v>189.83</c:v>
                </c:pt>
                <c:pt idx="217">
                  <c:v>251.98</c:v>
                </c:pt>
                <c:pt idx="218">
                  <c:v>276.38</c:v>
                </c:pt>
                <c:pt idx="219">
                  <c:v>240.54</c:v>
                </c:pt>
                <c:pt idx="220">
                  <c:v>220.86</c:v>
                </c:pt>
                <c:pt idx="221">
                  <c:v>176.52</c:v>
                </c:pt>
                <c:pt idx="222">
                  <c:v>146.26</c:v>
                </c:pt>
                <c:pt idx="223">
                  <c:v>134.59</c:v>
                </c:pt>
                <c:pt idx="224">
                  <c:v>123.39</c:v>
                </c:pt>
                <c:pt idx="225">
                  <c:v>108.2</c:v>
                </c:pt>
                <c:pt idx="226">
                  <c:v>100.46</c:v>
                </c:pt>
                <c:pt idx="227">
                  <c:v>135.26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0B5-B224-CF415A389FBF}"/>
            </c:ext>
          </c:extLst>
        </c:ser>
        <c:ser>
          <c:idx val="0"/>
          <c:order val="1"/>
          <c:tx>
            <c:v>rundu</c:v>
          </c:tx>
          <c:spPr>
            <a:solidFill>
              <a:schemeClr val="accent1"/>
            </a:solidFill>
            <a:ln w="3175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flows'!$I$4:$I$235</c:f>
              <c:numCache>
                <c:formatCode>0.0000</c:formatCode>
                <c:ptCount val="232"/>
                <c:pt idx="0">
                  <c:v>61.31</c:v>
                </c:pt>
                <c:pt idx="1">
                  <c:v>194.1</c:v>
                </c:pt>
                <c:pt idx="2">
                  <c:v>443.38</c:v>
                </c:pt>
                <c:pt idx="3">
                  <c:v>586.9</c:v>
                </c:pt>
                <c:pt idx="4">
                  <c:v>451.12</c:v>
                </c:pt>
                <c:pt idx="5">
                  <c:v>179.81</c:v>
                </c:pt>
                <c:pt idx="6">
                  <c:v>74.569999999999993</c:v>
                </c:pt>
                <c:pt idx="7">
                  <c:v>83.96</c:v>
                </c:pt>
                <c:pt idx="8">
                  <c:v>71.739999999999995</c:v>
                </c:pt>
                <c:pt idx="9">
                  <c:v>52.44</c:v>
                </c:pt>
                <c:pt idx="10">
                  <c:v>39.51</c:v>
                </c:pt>
                <c:pt idx="11">
                  <c:v>68.459999999999994</c:v>
                </c:pt>
                <c:pt idx="12">
                  <c:v>93.03</c:v>
                </c:pt>
                <c:pt idx="13">
                  <c:v>207.41</c:v>
                </c:pt>
                <c:pt idx="14">
                  <c:v>358.01</c:v>
                </c:pt>
                <c:pt idx="15">
                  <c:v>435.6</c:v>
                </c:pt>
                <c:pt idx="16">
                  <c:v>272.58</c:v>
                </c:pt>
                <c:pt idx="17">
                  <c:v>145.55000000000001</c:v>
                </c:pt>
                <c:pt idx="18">
                  <c:v>103.15</c:v>
                </c:pt>
                <c:pt idx="19">
                  <c:v>79.17</c:v>
                </c:pt>
                <c:pt idx="20">
                  <c:v>53.95</c:v>
                </c:pt>
                <c:pt idx="21">
                  <c:v>35.270000000000003</c:v>
                </c:pt>
                <c:pt idx="22">
                  <c:v>33.01</c:v>
                </c:pt>
                <c:pt idx="23">
                  <c:v>62.8</c:v>
                </c:pt>
                <c:pt idx="24">
                  <c:v>120.28</c:v>
                </c:pt>
                <c:pt idx="25">
                  <c:v>316.85000000000002</c:v>
                </c:pt>
                <c:pt idx="26">
                  <c:v>392.68</c:v>
                </c:pt>
                <c:pt idx="27">
                  <c:v>266.12</c:v>
                </c:pt>
                <c:pt idx="28">
                  <c:v>216.41</c:v>
                </c:pt>
                <c:pt idx="29">
                  <c:v>115.75</c:v>
                </c:pt>
                <c:pt idx="30">
                  <c:v>85.3</c:v>
                </c:pt>
                <c:pt idx="31">
                  <c:v>69.53</c:v>
                </c:pt>
                <c:pt idx="32">
                  <c:v>47.32</c:v>
                </c:pt>
                <c:pt idx="33">
                  <c:v>29.29</c:v>
                </c:pt>
                <c:pt idx="34">
                  <c:v>29.92</c:v>
                </c:pt>
                <c:pt idx="35">
                  <c:v>109.51</c:v>
                </c:pt>
                <c:pt idx="36">
                  <c:v>500.1</c:v>
                </c:pt>
                <c:pt idx="37">
                  <c:v>712</c:v>
                </c:pt>
                <c:pt idx="38">
                  <c:v>552.34</c:v>
                </c:pt>
                <c:pt idx="39">
                  <c:v>517.38</c:v>
                </c:pt>
                <c:pt idx="40">
                  <c:v>291.55</c:v>
                </c:pt>
                <c:pt idx="45">
                  <c:v>53.18</c:v>
                </c:pt>
                <c:pt idx="46">
                  <c:v>49.01</c:v>
                </c:pt>
                <c:pt idx="47">
                  <c:v>89.23</c:v>
                </c:pt>
                <c:pt idx="48">
                  <c:v>143.56</c:v>
                </c:pt>
                <c:pt idx="49">
                  <c:v>366.01</c:v>
                </c:pt>
                <c:pt idx="50">
                  <c:v>386.31</c:v>
                </c:pt>
                <c:pt idx="51">
                  <c:v>588.67999999999995</c:v>
                </c:pt>
                <c:pt idx="52">
                  <c:v>318.13</c:v>
                </c:pt>
                <c:pt idx="53">
                  <c:v>152.74</c:v>
                </c:pt>
                <c:pt idx="54">
                  <c:v>112.07</c:v>
                </c:pt>
                <c:pt idx="55">
                  <c:v>89.28</c:v>
                </c:pt>
                <c:pt idx="56">
                  <c:v>64.319999999999993</c:v>
                </c:pt>
                <c:pt idx="57">
                  <c:v>42.6</c:v>
                </c:pt>
                <c:pt idx="58">
                  <c:v>46.48</c:v>
                </c:pt>
                <c:pt idx="59">
                  <c:v>73.989999999999995</c:v>
                </c:pt>
                <c:pt idx="60">
                  <c:v>142.13</c:v>
                </c:pt>
                <c:pt idx="61">
                  <c:v>179.87</c:v>
                </c:pt>
                <c:pt idx="62">
                  <c:v>235.03</c:v>
                </c:pt>
                <c:pt idx="63">
                  <c:v>333.07</c:v>
                </c:pt>
                <c:pt idx="64">
                  <c:v>343.41</c:v>
                </c:pt>
                <c:pt idx="65">
                  <c:v>179.98</c:v>
                </c:pt>
                <c:pt idx="66">
                  <c:v>118.74</c:v>
                </c:pt>
                <c:pt idx="67">
                  <c:v>97.15</c:v>
                </c:pt>
                <c:pt idx="68">
                  <c:v>71.760000000000005</c:v>
                </c:pt>
                <c:pt idx="69">
                  <c:v>55.43</c:v>
                </c:pt>
                <c:pt idx="70">
                  <c:v>82.4</c:v>
                </c:pt>
                <c:pt idx="71">
                  <c:v>258.26</c:v>
                </c:pt>
                <c:pt idx="72">
                  <c:v>422.45</c:v>
                </c:pt>
                <c:pt idx="73">
                  <c:v>403.83</c:v>
                </c:pt>
                <c:pt idx="74">
                  <c:v>559.5</c:v>
                </c:pt>
                <c:pt idx="75">
                  <c:v>545.04</c:v>
                </c:pt>
                <c:pt idx="76">
                  <c:v>246.8</c:v>
                </c:pt>
                <c:pt idx="77">
                  <c:v>142.15</c:v>
                </c:pt>
                <c:pt idx="78">
                  <c:v>112.75</c:v>
                </c:pt>
                <c:pt idx="79">
                  <c:v>91.82</c:v>
                </c:pt>
                <c:pt idx="80">
                  <c:v>66.45</c:v>
                </c:pt>
                <c:pt idx="81">
                  <c:v>41.85</c:v>
                </c:pt>
                <c:pt idx="82">
                  <c:v>33.1</c:v>
                </c:pt>
                <c:pt idx="83">
                  <c:v>77.430000000000007</c:v>
                </c:pt>
                <c:pt idx="84">
                  <c:v>88.39</c:v>
                </c:pt>
                <c:pt idx="85">
                  <c:v>213.65</c:v>
                </c:pt>
                <c:pt idx="86">
                  <c:v>320.98</c:v>
                </c:pt>
                <c:pt idx="87">
                  <c:v>375.02</c:v>
                </c:pt>
                <c:pt idx="88">
                  <c:v>261.12</c:v>
                </c:pt>
                <c:pt idx="89">
                  <c:v>134.66999999999999</c:v>
                </c:pt>
                <c:pt idx="90">
                  <c:v>97.41</c:v>
                </c:pt>
                <c:pt idx="91">
                  <c:v>75.89</c:v>
                </c:pt>
                <c:pt idx="92">
                  <c:v>51.95</c:v>
                </c:pt>
                <c:pt idx="93">
                  <c:v>33.770000000000003</c:v>
                </c:pt>
                <c:pt idx="94">
                  <c:v>38.520000000000003</c:v>
                </c:pt>
                <c:pt idx="95">
                  <c:v>181.23</c:v>
                </c:pt>
                <c:pt idx="96">
                  <c:v>329.29</c:v>
                </c:pt>
                <c:pt idx="97">
                  <c:v>325.04000000000002</c:v>
                </c:pt>
                <c:pt idx="98">
                  <c:v>733.47</c:v>
                </c:pt>
                <c:pt idx="99">
                  <c:v>623.02</c:v>
                </c:pt>
                <c:pt idx="100">
                  <c:v>345.03</c:v>
                </c:pt>
                <c:pt idx="101">
                  <c:v>188.73</c:v>
                </c:pt>
                <c:pt idx="102">
                  <c:v>131.63</c:v>
                </c:pt>
                <c:pt idx="103">
                  <c:v>103.78</c:v>
                </c:pt>
                <c:pt idx="104">
                  <c:v>74.97</c:v>
                </c:pt>
                <c:pt idx="105">
                  <c:v>58.17</c:v>
                </c:pt>
                <c:pt idx="106">
                  <c:v>66.290000000000006</c:v>
                </c:pt>
                <c:pt idx="107">
                  <c:v>107.47</c:v>
                </c:pt>
                <c:pt idx="108">
                  <c:v>441.31</c:v>
                </c:pt>
                <c:pt idx="109">
                  <c:v>479.33</c:v>
                </c:pt>
                <c:pt idx="110">
                  <c:v>535.87</c:v>
                </c:pt>
                <c:pt idx="111">
                  <c:v>803.16</c:v>
                </c:pt>
                <c:pt idx="112">
                  <c:v>525.38</c:v>
                </c:pt>
                <c:pt idx="113">
                  <c:v>261.38</c:v>
                </c:pt>
                <c:pt idx="114">
                  <c:v>186.92</c:v>
                </c:pt>
                <c:pt idx="115">
                  <c:v>138.69</c:v>
                </c:pt>
                <c:pt idx="116">
                  <c:v>98.22</c:v>
                </c:pt>
                <c:pt idx="117">
                  <c:v>63.11</c:v>
                </c:pt>
                <c:pt idx="118">
                  <c:v>51.25</c:v>
                </c:pt>
                <c:pt idx="119">
                  <c:v>215.29</c:v>
                </c:pt>
                <c:pt idx="120">
                  <c:v>534.64</c:v>
                </c:pt>
                <c:pt idx="121">
                  <c:v>436.1</c:v>
                </c:pt>
                <c:pt idx="122">
                  <c:v>712.26</c:v>
                </c:pt>
                <c:pt idx="123">
                  <c:v>757.11</c:v>
                </c:pt>
                <c:pt idx="124">
                  <c:v>521.77</c:v>
                </c:pt>
                <c:pt idx="125">
                  <c:v>274.85000000000002</c:v>
                </c:pt>
                <c:pt idx="126">
                  <c:v>198.34</c:v>
                </c:pt>
                <c:pt idx="127">
                  <c:v>161.66999999999999</c:v>
                </c:pt>
                <c:pt idx="128">
                  <c:v>113.27</c:v>
                </c:pt>
                <c:pt idx="129">
                  <c:v>70.84</c:v>
                </c:pt>
                <c:pt idx="130">
                  <c:v>54.75</c:v>
                </c:pt>
                <c:pt idx="131">
                  <c:v>266.57</c:v>
                </c:pt>
                <c:pt idx="132">
                  <c:v>390.06</c:v>
                </c:pt>
                <c:pt idx="133">
                  <c:v>438.38</c:v>
                </c:pt>
                <c:pt idx="134">
                  <c:v>504.16</c:v>
                </c:pt>
                <c:pt idx="135">
                  <c:v>528.69000000000005</c:v>
                </c:pt>
                <c:pt idx="136">
                  <c:v>217.46</c:v>
                </c:pt>
                <c:pt idx="137">
                  <c:v>139.4</c:v>
                </c:pt>
                <c:pt idx="138">
                  <c:v>116.67</c:v>
                </c:pt>
                <c:pt idx="139">
                  <c:v>88.42</c:v>
                </c:pt>
                <c:pt idx="140">
                  <c:v>66.25</c:v>
                </c:pt>
                <c:pt idx="141">
                  <c:v>47.13</c:v>
                </c:pt>
                <c:pt idx="142">
                  <c:v>57.59</c:v>
                </c:pt>
                <c:pt idx="143">
                  <c:v>151.52000000000001</c:v>
                </c:pt>
                <c:pt idx="144">
                  <c:v>287.26</c:v>
                </c:pt>
                <c:pt idx="145">
                  <c:v>286.23</c:v>
                </c:pt>
                <c:pt idx="146">
                  <c:v>420.05</c:v>
                </c:pt>
                <c:pt idx="147">
                  <c:v>366.05</c:v>
                </c:pt>
                <c:pt idx="148">
                  <c:v>208.29</c:v>
                </c:pt>
                <c:pt idx="149">
                  <c:v>115.03</c:v>
                </c:pt>
                <c:pt idx="150">
                  <c:v>92.14</c:v>
                </c:pt>
                <c:pt idx="151">
                  <c:v>74.09</c:v>
                </c:pt>
                <c:pt idx="152">
                  <c:v>52.85</c:v>
                </c:pt>
                <c:pt idx="153">
                  <c:v>33.36</c:v>
                </c:pt>
                <c:pt idx="154">
                  <c:v>34.090000000000003</c:v>
                </c:pt>
                <c:pt idx="155">
                  <c:v>132.59</c:v>
                </c:pt>
                <c:pt idx="156">
                  <c:v>167.13</c:v>
                </c:pt>
                <c:pt idx="157">
                  <c:v>202.89</c:v>
                </c:pt>
                <c:pt idx="158">
                  <c:v>344.72</c:v>
                </c:pt>
                <c:pt idx="159">
                  <c:v>596.89</c:v>
                </c:pt>
                <c:pt idx="160">
                  <c:v>400.07</c:v>
                </c:pt>
                <c:pt idx="161">
                  <c:v>185.32</c:v>
                </c:pt>
                <c:pt idx="162">
                  <c:v>123.37</c:v>
                </c:pt>
                <c:pt idx="163">
                  <c:v>91.61</c:v>
                </c:pt>
                <c:pt idx="164">
                  <c:v>66.88</c:v>
                </c:pt>
                <c:pt idx="165">
                  <c:v>46.69</c:v>
                </c:pt>
                <c:pt idx="166">
                  <c:v>49.31</c:v>
                </c:pt>
                <c:pt idx="167">
                  <c:v>224.79</c:v>
                </c:pt>
                <c:pt idx="168">
                  <c:v>263.35000000000002</c:v>
                </c:pt>
                <c:pt idx="169">
                  <c:v>504.96</c:v>
                </c:pt>
                <c:pt idx="170">
                  <c:v>430.08</c:v>
                </c:pt>
                <c:pt idx="171">
                  <c:v>355.65</c:v>
                </c:pt>
                <c:pt idx="172">
                  <c:v>217.64</c:v>
                </c:pt>
                <c:pt idx="173">
                  <c:v>130.05000000000001</c:v>
                </c:pt>
                <c:pt idx="174">
                  <c:v>99.5</c:v>
                </c:pt>
                <c:pt idx="175">
                  <c:v>79.040000000000006</c:v>
                </c:pt>
                <c:pt idx="176">
                  <c:v>55.86</c:v>
                </c:pt>
                <c:pt idx="177">
                  <c:v>35.04</c:v>
                </c:pt>
                <c:pt idx="178">
                  <c:v>22.3</c:v>
                </c:pt>
                <c:pt idx="179">
                  <c:v>42.58</c:v>
                </c:pt>
                <c:pt idx="180">
                  <c:v>190.36</c:v>
                </c:pt>
                <c:pt idx="181">
                  <c:v>308.5</c:v>
                </c:pt>
                <c:pt idx="182">
                  <c:v>446.92</c:v>
                </c:pt>
                <c:pt idx="183">
                  <c:v>638.41</c:v>
                </c:pt>
                <c:pt idx="184">
                  <c:v>292.69</c:v>
                </c:pt>
                <c:pt idx="185">
                  <c:v>152.16999999999999</c:v>
                </c:pt>
                <c:pt idx="186">
                  <c:v>117.8</c:v>
                </c:pt>
                <c:pt idx="187">
                  <c:v>96.03</c:v>
                </c:pt>
                <c:pt idx="188">
                  <c:v>71.28</c:v>
                </c:pt>
                <c:pt idx="189">
                  <c:v>44.44</c:v>
                </c:pt>
                <c:pt idx="190">
                  <c:v>38.19</c:v>
                </c:pt>
                <c:pt idx="191">
                  <c:v>128.26</c:v>
                </c:pt>
                <c:pt idx="192">
                  <c:v>251.15</c:v>
                </c:pt>
                <c:pt idx="193">
                  <c:v>218.36</c:v>
                </c:pt>
                <c:pt idx="194">
                  <c:v>276.64999999999998</c:v>
                </c:pt>
                <c:pt idx="195">
                  <c:v>260.08</c:v>
                </c:pt>
                <c:pt idx="196">
                  <c:v>158.97</c:v>
                </c:pt>
                <c:pt idx="197">
                  <c:v>89.76</c:v>
                </c:pt>
                <c:pt idx="198">
                  <c:v>62.19</c:v>
                </c:pt>
                <c:pt idx="199">
                  <c:v>49.18</c:v>
                </c:pt>
                <c:pt idx="200">
                  <c:v>33.86</c:v>
                </c:pt>
                <c:pt idx="201">
                  <c:v>22.09</c:v>
                </c:pt>
                <c:pt idx="202">
                  <c:v>26.02</c:v>
                </c:pt>
                <c:pt idx="203">
                  <c:v>46.65</c:v>
                </c:pt>
                <c:pt idx="204">
                  <c:v>108.12</c:v>
                </c:pt>
                <c:pt idx="205">
                  <c:v>273.08</c:v>
                </c:pt>
                <c:pt idx="206">
                  <c:v>299.07</c:v>
                </c:pt>
                <c:pt idx="207">
                  <c:v>465.2</c:v>
                </c:pt>
                <c:pt idx="208">
                  <c:v>416.74</c:v>
                </c:pt>
                <c:pt idx="209">
                  <c:v>175.2</c:v>
                </c:pt>
                <c:pt idx="210">
                  <c:v>117.06</c:v>
                </c:pt>
                <c:pt idx="211">
                  <c:v>90.98</c:v>
                </c:pt>
                <c:pt idx="212">
                  <c:v>63.99</c:v>
                </c:pt>
                <c:pt idx="213">
                  <c:v>42.43</c:v>
                </c:pt>
                <c:pt idx="214">
                  <c:v>38.619999999999997</c:v>
                </c:pt>
                <c:pt idx="215">
                  <c:v>50.07</c:v>
                </c:pt>
                <c:pt idx="216">
                  <c:v>106.77</c:v>
                </c:pt>
                <c:pt idx="217">
                  <c:v>180.65</c:v>
                </c:pt>
                <c:pt idx="218">
                  <c:v>178.51</c:v>
                </c:pt>
                <c:pt idx="219">
                  <c:v>148.97</c:v>
                </c:pt>
                <c:pt idx="220">
                  <c:v>127.38</c:v>
                </c:pt>
                <c:pt idx="221">
                  <c:v>89.04</c:v>
                </c:pt>
                <c:pt idx="222">
                  <c:v>63.46</c:v>
                </c:pt>
                <c:pt idx="223">
                  <c:v>48.74</c:v>
                </c:pt>
                <c:pt idx="224">
                  <c:v>32.79</c:v>
                </c:pt>
                <c:pt idx="225">
                  <c:v>20.87</c:v>
                </c:pt>
                <c:pt idx="226">
                  <c:v>22.75</c:v>
                </c:pt>
                <c:pt idx="227">
                  <c:v>61.89</c:v>
                </c:pt>
                <c:pt idx="228">
                  <c:v>191.99</c:v>
                </c:pt>
                <c:pt idx="229">
                  <c:v>438.78</c:v>
                </c:pt>
                <c:pt idx="230">
                  <c:v>490.85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9-4F4D-AA3A-878D74D2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Zambezi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Average</c:v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flows'!$M$4:$M$235</c:f>
              <c:numCache>
                <c:formatCode>0.0000</c:formatCode>
                <c:ptCount val="232"/>
                <c:pt idx="0">
                  <c:v>671.20894736842092</c:v>
                </c:pt>
                <c:pt idx="1">
                  <c:v>1650.3500000000001</c:v>
                </c:pt>
                <c:pt idx="2">
                  <c:v>3124.677368421053</c:v>
                </c:pt>
                <c:pt idx="3">
                  <c:v>3744.6268421052641</c:v>
                </c:pt>
                <c:pt idx="4">
                  <c:v>2961.8094736842104</c:v>
                </c:pt>
                <c:pt idx="5">
                  <c:v>1490.274210526316</c:v>
                </c:pt>
                <c:pt idx="6">
                  <c:v>693.74263157894745</c:v>
                </c:pt>
                <c:pt idx="7">
                  <c:v>417.0510526315789</c:v>
                </c:pt>
                <c:pt idx="8">
                  <c:v>300.97526315789474</c:v>
                </c:pt>
                <c:pt idx="9">
                  <c:v>237.62421052631578</c:v>
                </c:pt>
                <c:pt idx="10">
                  <c:v>234.77473684210523</c:v>
                </c:pt>
                <c:pt idx="11">
                  <c:v>340.84421052631575</c:v>
                </c:pt>
                <c:pt idx="12">
                  <c:v>671.20894736842092</c:v>
                </c:pt>
                <c:pt idx="13">
                  <c:v>1650.3500000000001</c:v>
                </c:pt>
                <c:pt idx="14">
                  <c:v>3124.677368421053</c:v>
                </c:pt>
                <c:pt idx="15">
                  <c:v>3744.6268421052641</c:v>
                </c:pt>
                <c:pt idx="16">
                  <c:v>2961.8094736842104</c:v>
                </c:pt>
                <c:pt idx="17">
                  <c:v>1490.274210526316</c:v>
                </c:pt>
                <c:pt idx="18">
                  <c:v>693.74263157894745</c:v>
                </c:pt>
                <c:pt idx="19">
                  <c:v>417.0510526315789</c:v>
                </c:pt>
                <c:pt idx="20">
                  <c:v>300.97526315789474</c:v>
                </c:pt>
                <c:pt idx="21">
                  <c:v>237.62421052631578</c:v>
                </c:pt>
                <c:pt idx="22">
                  <c:v>234.77473684210523</c:v>
                </c:pt>
                <c:pt idx="23">
                  <c:v>340.84421052631575</c:v>
                </c:pt>
                <c:pt idx="24">
                  <c:v>671.20894736842092</c:v>
                </c:pt>
                <c:pt idx="25">
                  <c:v>1650.3500000000001</c:v>
                </c:pt>
                <c:pt idx="26">
                  <c:v>3124.677368421053</c:v>
                </c:pt>
                <c:pt idx="27">
                  <c:v>3744.6268421052641</c:v>
                </c:pt>
                <c:pt idx="28">
                  <c:v>2961.8094736842104</c:v>
                </c:pt>
                <c:pt idx="29">
                  <c:v>1490.274210526316</c:v>
                </c:pt>
                <c:pt idx="30">
                  <c:v>693.74263157894745</c:v>
                </c:pt>
                <c:pt idx="31">
                  <c:v>417.0510526315789</c:v>
                </c:pt>
                <c:pt idx="32">
                  <c:v>300.97526315789474</c:v>
                </c:pt>
                <c:pt idx="33">
                  <c:v>237.62421052631578</c:v>
                </c:pt>
                <c:pt idx="34">
                  <c:v>234.77473684210523</c:v>
                </c:pt>
                <c:pt idx="35">
                  <c:v>340.84421052631575</c:v>
                </c:pt>
                <c:pt idx="36">
                  <c:v>671.20894736842092</c:v>
                </c:pt>
                <c:pt idx="37">
                  <c:v>1650.3500000000001</c:v>
                </c:pt>
                <c:pt idx="38">
                  <c:v>3124.677368421053</c:v>
                </c:pt>
                <c:pt idx="39">
                  <c:v>3744.6268421052641</c:v>
                </c:pt>
                <c:pt idx="40">
                  <c:v>2961.8094736842104</c:v>
                </c:pt>
                <c:pt idx="41">
                  <c:v>1490.274210526316</c:v>
                </c:pt>
                <c:pt idx="42">
                  <c:v>693.74263157894745</c:v>
                </c:pt>
                <c:pt idx="43">
                  <c:v>417.0510526315789</c:v>
                </c:pt>
                <c:pt idx="44">
                  <c:v>300.97526315789474</c:v>
                </c:pt>
                <c:pt idx="45">
                  <c:v>237.62421052631578</c:v>
                </c:pt>
                <c:pt idx="46">
                  <c:v>234.77473684210523</c:v>
                </c:pt>
                <c:pt idx="47">
                  <c:v>340.84421052631575</c:v>
                </c:pt>
                <c:pt idx="48">
                  <c:v>671.20894736842092</c:v>
                </c:pt>
                <c:pt idx="49">
                  <c:v>1650.3500000000001</c:v>
                </c:pt>
                <c:pt idx="50">
                  <c:v>3124.677368421053</c:v>
                </c:pt>
                <c:pt idx="51">
                  <c:v>3744.6268421052641</c:v>
                </c:pt>
                <c:pt idx="52">
                  <c:v>2961.8094736842104</c:v>
                </c:pt>
                <c:pt idx="53">
                  <c:v>1490.274210526316</c:v>
                </c:pt>
                <c:pt idx="54">
                  <c:v>693.74263157894745</c:v>
                </c:pt>
                <c:pt idx="55">
                  <c:v>417.0510526315789</c:v>
                </c:pt>
                <c:pt idx="56">
                  <c:v>300.97526315789474</c:v>
                </c:pt>
                <c:pt idx="57">
                  <c:v>237.62421052631578</c:v>
                </c:pt>
                <c:pt idx="58">
                  <c:v>234.77473684210523</c:v>
                </c:pt>
                <c:pt idx="59">
                  <c:v>340.84421052631575</c:v>
                </c:pt>
                <c:pt idx="60">
                  <c:v>671.20894736842092</c:v>
                </c:pt>
                <c:pt idx="61">
                  <c:v>1650.3500000000001</c:v>
                </c:pt>
                <c:pt idx="62">
                  <c:v>3124.677368421053</c:v>
                </c:pt>
                <c:pt idx="63">
                  <c:v>3744.6268421052641</c:v>
                </c:pt>
                <c:pt idx="64">
                  <c:v>2961.8094736842104</c:v>
                </c:pt>
                <c:pt idx="65">
                  <c:v>1490.274210526316</c:v>
                </c:pt>
                <c:pt idx="66">
                  <c:v>693.74263157894745</c:v>
                </c:pt>
                <c:pt idx="67">
                  <c:v>417.0510526315789</c:v>
                </c:pt>
                <c:pt idx="68">
                  <c:v>300.97526315789474</c:v>
                </c:pt>
                <c:pt idx="69">
                  <c:v>237.62421052631578</c:v>
                </c:pt>
                <c:pt idx="70">
                  <c:v>234.77473684210523</c:v>
                </c:pt>
                <c:pt idx="71">
                  <c:v>340.84421052631575</c:v>
                </c:pt>
                <c:pt idx="72">
                  <c:v>671.20894736842092</c:v>
                </c:pt>
                <c:pt idx="73">
                  <c:v>1650.3500000000001</c:v>
                </c:pt>
                <c:pt idx="74">
                  <c:v>3124.677368421053</c:v>
                </c:pt>
                <c:pt idx="75">
                  <c:v>3744.6268421052641</c:v>
                </c:pt>
                <c:pt idx="76">
                  <c:v>2961.8094736842104</c:v>
                </c:pt>
                <c:pt idx="77">
                  <c:v>1490.274210526316</c:v>
                </c:pt>
                <c:pt idx="78">
                  <c:v>693.74263157894745</c:v>
                </c:pt>
                <c:pt idx="79">
                  <c:v>417.0510526315789</c:v>
                </c:pt>
                <c:pt idx="80">
                  <c:v>300.97526315789474</c:v>
                </c:pt>
                <c:pt idx="81">
                  <c:v>237.62421052631578</c:v>
                </c:pt>
                <c:pt idx="82">
                  <c:v>234.77473684210523</c:v>
                </c:pt>
                <c:pt idx="83">
                  <c:v>340.84421052631575</c:v>
                </c:pt>
                <c:pt idx="84">
                  <c:v>671.20894736842092</c:v>
                </c:pt>
                <c:pt idx="85">
                  <c:v>1650.3500000000001</c:v>
                </c:pt>
                <c:pt idx="86">
                  <c:v>3124.677368421053</c:v>
                </c:pt>
                <c:pt idx="87">
                  <c:v>3744.6268421052641</c:v>
                </c:pt>
                <c:pt idx="88">
                  <c:v>2961.8094736842104</c:v>
                </c:pt>
                <c:pt idx="89">
                  <c:v>1490.274210526316</c:v>
                </c:pt>
                <c:pt idx="90">
                  <c:v>693.74263157894745</c:v>
                </c:pt>
                <c:pt idx="91">
                  <c:v>417.0510526315789</c:v>
                </c:pt>
                <c:pt idx="92">
                  <c:v>300.97526315789474</c:v>
                </c:pt>
                <c:pt idx="93">
                  <c:v>237.62421052631578</c:v>
                </c:pt>
                <c:pt idx="94">
                  <c:v>234.77473684210523</c:v>
                </c:pt>
                <c:pt idx="95">
                  <c:v>340.84421052631575</c:v>
                </c:pt>
                <c:pt idx="96">
                  <c:v>671.20894736842092</c:v>
                </c:pt>
                <c:pt idx="97">
                  <c:v>1650.3500000000001</c:v>
                </c:pt>
                <c:pt idx="98">
                  <c:v>3124.677368421053</c:v>
                </c:pt>
                <c:pt idx="99">
                  <c:v>3744.6268421052641</c:v>
                </c:pt>
                <c:pt idx="100">
                  <c:v>2961.8094736842104</c:v>
                </c:pt>
                <c:pt idx="101">
                  <c:v>1490.274210526316</c:v>
                </c:pt>
                <c:pt idx="102">
                  <c:v>693.74263157894745</c:v>
                </c:pt>
                <c:pt idx="103">
                  <c:v>417.0510526315789</c:v>
                </c:pt>
                <c:pt idx="104">
                  <c:v>300.97526315789474</c:v>
                </c:pt>
                <c:pt idx="105">
                  <c:v>237.62421052631578</c:v>
                </c:pt>
                <c:pt idx="106">
                  <c:v>234.77473684210523</c:v>
                </c:pt>
                <c:pt idx="107">
                  <c:v>340.84421052631575</c:v>
                </c:pt>
                <c:pt idx="108">
                  <c:v>671.20894736842092</c:v>
                </c:pt>
                <c:pt idx="109">
                  <c:v>1650.3500000000001</c:v>
                </c:pt>
                <c:pt idx="110">
                  <c:v>3124.677368421053</c:v>
                </c:pt>
                <c:pt idx="111">
                  <c:v>3744.6268421052641</c:v>
                </c:pt>
                <c:pt idx="112">
                  <c:v>2961.8094736842104</c:v>
                </c:pt>
                <c:pt idx="113">
                  <c:v>1490.274210526316</c:v>
                </c:pt>
                <c:pt idx="114">
                  <c:v>693.74263157894745</c:v>
                </c:pt>
                <c:pt idx="115">
                  <c:v>417.0510526315789</c:v>
                </c:pt>
                <c:pt idx="116">
                  <c:v>300.97526315789474</c:v>
                </c:pt>
                <c:pt idx="117">
                  <c:v>237.62421052631578</c:v>
                </c:pt>
                <c:pt idx="118">
                  <c:v>234.77473684210523</c:v>
                </c:pt>
                <c:pt idx="119">
                  <c:v>340.84421052631575</c:v>
                </c:pt>
                <c:pt idx="120">
                  <c:v>671.20894736842092</c:v>
                </c:pt>
                <c:pt idx="121">
                  <c:v>1650.3500000000001</c:v>
                </c:pt>
                <c:pt idx="122">
                  <c:v>3124.677368421053</c:v>
                </c:pt>
                <c:pt idx="123">
                  <c:v>3744.6268421052641</c:v>
                </c:pt>
                <c:pt idx="124">
                  <c:v>2961.8094736842104</c:v>
                </c:pt>
                <c:pt idx="125">
                  <c:v>1490.274210526316</c:v>
                </c:pt>
                <c:pt idx="126">
                  <c:v>693.74263157894745</c:v>
                </c:pt>
                <c:pt idx="127">
                  <c:v>417.0510526315789</c:v>
                </c:pt>
                <c:pt idx="128">
                  <c:v>300.97526315789474</c:v>
                </c:pt>
                <c:pt idx="129">
                  <c:v>237.62421052631578</c:v>
                </c:pt>
                <c:pt idx="130">
                  <c:v>234.77473684210523</c:v>
                </c:pt>
                <c:pt idx="131">
                  <c:v>340.84421052631575</c:v>
                </c:pt>
                <c:pt idx="132">
                  <c:v>671.20894736842092</c:v>
                </c:pt>
                <c:pt idx="133">
                  <c:v>1650.3500000000001</c:v>
                </c:pt>
                <c:pt idx="134">
                  <c:v>3124.677368421053</c:v>
                </c:pt>
                <c:pt idx="135">
                  <c:v>3744.6268421052641</c:v>
                </c:pt>
                <c:pt idx="136">
                  <c:v>2961.8094736842104</c:v>
                </c:pt>
                <c:pt idx="137">
                  <c:v>1490.274210526316</c:v>
                </c:pt>
                <c:pt idx="138">
                  <c:v>693.74263157894745</c:v>
                </c:pt>
                <c:pt idx="139">
                  <c:v>417.0510526315789</c:v>
                </c:pt>
                <c:pt idx="140">
                  <c:v>300.97526315789474</c:v>
                </c:pt>
                <c:pt idx="141">
                  <c:v>237.62421052631578</c:v>
                </c:pt>
                <c:pt idx="142">
                  <c:v>234.77473684210523</c:v>
                </c:pt>
                <c:pt idx="143">
                  <c:v>340.84421052631575</c:v>
                </c:pt>
                <c:pt idx="144">
                  <c:v>671.20894736842092</c:v>
                </c:pt>
                <c:pt idx="145">
                  <c:v>1650.3500000000001</c:v>
                </c:pt>
                <c:pt idx="146">
                  <c:v>3124.677368421053</c:v>
                </c:pt>
                <c:pt idx="147">
                  <c:v>3744.6268421052641</c:v>
                </c:pt>
                <c:pt idx="148">
                  <c:v>2961.8094736842104</c:v>
                </c:pt>
                <c:pt idx="149">
                  <c:v>1490.274210526316</c:v>
                </c:pt>
                <c:pt idx="150">
                  <c:v>693.74263157894745</c:v>
                </c:pt>
                <c:pt idx="151">
                  <c:v>417.0510526315789</c:v>
                </c:pt>
                <c:pt idx="152">
                  <c:v>300.97526315789474</c:v>
                </c:pt>
                <c:pt idx="153">
                  <c:v>237.62421052631578</c:v>
                </c:pt>
                <c:pt idx="154">
                  <c:v>234.77473684210523</c:v>
                </c:pt>
                <c:pt idx="155">
                  <c:v>340.84421052631575</c:v>
                </c:pt>
                <c:pt idx="156">
                  <c:v>671.20894736842092</c:v>
                </c:pt>
                <c:pt idx="157">
                  <c:v>1650.3500000000001</c:v>
                </c:pt>
                <c:pt idx="158">
                  <c:v>3124.677368421053</c:v>
                </c:pt>
                <c:pt idx="159">
                  <c:v>3744.6268421052641</c:v>
                </c:pt>
                <c:pt idx="160">
                  <c:v>2961.8094736842104</c:v>
                </c:pt>
                <c:pt idx="161">
                  <c:v>1490.274210526316</c:v>
                </c:pt>
                <c:pt idx="162">
                  <c:v>693.74263157894745</c:v>
                </c:pt>
                <c:pt idx="163">
                  <c:v>417.0510526315789</c:v>
                </c:pt>
                <c:pt idx="164">
                  <c:v>300.97526315789474</c:v>
                </c:pt>
                <c:pt idx="165">
                  <c:v>237.62421052631578</c:v>
                </c:pt>
                <c:pt idx="166">
                  <c:v>234.77473684210523</c:v>
                </c:pt>
                <c:pt idx="167">
                  <c:v>340.84421052631575</c:v>
                </c:pt>
                <c:pt idx="168">
                  <c:v>671.20894736842092</c:v>
                </c:pt>
                <c:pt idx="169">
                  <c:v>1650.3500000000001</c:v>
                </c:pt>
                <c:pt idx="170">
                  <c:v>3124.677368421053</c:v>
                </c:pt>
                <c:pt idx="171">
                  <c:v>3744.6268421052641</c:v>
                </c:pt>
                <c:pt idx="172">
                  <c:v>2961.8094736842104</c:v>
                </c:pt>
                <c:pt idx="173">
                  <c:v>1490.274210526316</c:v>
                </c:pt>
                <c:pt idx="174">
                  <c:v>693.74263157894745</c:v>
                </c:pt>
                <c:pt idx="175">
                  <c:v>417.0510526315789</c:v>
                </c:pt>
                <c:pt idx="176">
                  <c:v>300.97526315789474</c:v>
                </c:pt>
                <c:pt idx="177">
                  <c:v>237.62421052631578</c:v>
                </c:pt>
                <c:pt idx="178">
                  <c:v>234.77473684210523</c:v>
                </c:pt>
                <c:pt idx="179">
                  <c:v>340.84421052631575</c:v>
                </c:pt>
                <c:pt idx="180">
                  <c:v>671.20894736842092</c:v>
                </c:pt>
                <c:pt idx="181">
                  <c:v>1650.3500000000001</c:v>
                </c:pt>
                <c:pt idx="182">
                  <c:v>3124.677368421053</c:v>
                </c:pt>
                <c:pt idx="183">
                  <c:v>3744.6268421052641</c:v>
                </c:pt>
                <c:pt idx="184">
                  <c:v>2961.8094736842104</c:v>
                </c:pt>
                <c:pt idx="185">
                  <c:v>1490.274210526316</c:v>
                </c:pt>
                <c:pt idx="186">
                  <c:v>693.74263157894745</c:v>
                </c:pt>
                <c:pt idx="187">
                  <c:v>417.0510526315789</c:v>
                </c:pt>
                <c:pt idx="188">
                  <c:v>300.97526315789474</c:v>
                </c:pt>
                <c:pt idx="189">
                  <c:v>237.62421052631578</c:v>
                </c:pt>
                <c:pt idx="190">
                  <c:v>234.77473684210523</c:v>
                </c:pt>
                <c:pt idx="191">
                  <c:v>340.84421052631575</c:v>
                </c:pt>
                <c:pt idx="192">
                  <c:v>671.20894736842092</c:v>
                </c:pt>
                <c:pt idx="193">
                  <c:v>1650.3500000000001</c:v>
                </c:pt>
                <c:pt idx="194">
                  <c:v>3124.677368421053</c:v>
                </c:pt>
                <c:pt idx="195">
                  <c:v>3744.6268421052641</c:v>
                </c:pt>
                <c:pt idx="196">
                  <c:v>2961.8094736842104</c:v>
                </c:pt>
                <c:pt idx="197">
                  <c:v>1490.274210526316</c:v>
                </c:pt>
                <c:pt idx="198">
                  <c:v>693.74263157894745</c:v>
                </c:pt>
                <c:pt idx="199">
                  <c:v>417.0510526315789</c:v>
                </c:pt>
                <c:pt idx="200">
                  <c:v>300.97526315789474</c:v>
                </c:pt>
                <c:pt idx="201">
                  <c:v>237.62421052631578</c:v>
                </c:pt>
                <c:pt idx="202">
                  <c:v>234.77473684210523</c:v>
                </c:pt>
                <c:pt idx="203">
                  <c:v>340.84421052631575</c:v>
                </c:pt>
                <c:pt idx="204">
                  <c:v>671.20894736842092</c:v>
                </c:pt>
                <c:pt idx="205">
                  <c:v>1650.3500000000001</c:v>
                </c:pt>
                <c:pt idx="206">
                  <c:v>3124.677368421053</c:v>
                </c:pt>
                <c:pt idx="207">
                  <c:v>3744.6268421052641</c:v>
                </c:pt>
                <c:pt idx="208">
                  <c:v>2961.8094736842104</c:v>
                </c:pt>
                <c:pt idx="209">
                  <c:v>1490.274210526316</c:v>
                </c:pt>
                <c:pt idx="210">
                  <c:v>693.74263157894745</c:v>
                </c:pt>
                <c:pt idx="211">
                  <c:v>417.0510526315789</c:v>
                </c:pt>
                <c:pt idx="212">
                  <c:v>300.97526315789474</c:v>
                </c:pt>
                <c:pt idx="213">
                  <c:v>237.62421052631578</c:v>
                </c:pt>
                <c:pt idx="214">
                  <c:v>234.77473684210523</c:v>
                </c:pt>
                <c:pt idx="215">
                  <c:v>340.84421052631575</c:v>
                </c:pt>
                <c:pt idx="216">
                  <c:v>671.20894736842092</c:v>
                </c:pt>
                <c:pt idx="217">
                  <c:v>1650.3500000000001</c:v>
                </c:pt>
                <c:pt idx="218">
                  <c:v>3124.677368421053</c:v>
                </c:pt>
                <c:pt idx="219">
                  <c:v>3744.6268421052641</c:v>
                </c:pt>
                <c:pt idx="220">
                  <c:v>2961.8094736842104</c:v>
                </c:pt>
                <c:pt idx="221">
                  <c:v>1490.274210526316</c:v>
                </c:pt>
                <c:pt idx="222">
                  <c:v>693.74263157894745</c:v>
                </c:pt>
                <c:pt idx="223">
                  <c:v>417.0510526315789</c:v>
                </c:pt>
                <c:pt idx="224">
                  <c:v>300.97526315789474</c:v>
                </c:pt>
                <c:pt idx="225">
                  <c:v>237.62421052631578</c:v>
                </c:pt>
                <c:pt idx="226">
                  <c:v>234.77473684210523</c:v>
                </c:pt>
                <c:pt idx="227">
                  <c:v>340.84421052631575</c:v>
                </c:pt>
                <c:pt idx="228">
                  <c:v>671.20894736842092</c:v>
                </c:pt>
                <c:pt idx="229">
                  <c:v>1650.3500000000001</c:v>
                </c:pt>
                <c:pt idx="230">
                  <c:v>3124.677368421053</c:v>
                </c:pt>
                <c:pt idx="231">
                  <c:v>3744.6268421052641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3-452F-B1A1-CCFF6DAFA43B}"/>
            </c:ext>
          </c:extLst>
        </c:ser>
        <c:ser>
          <c:idx val="0"/>
          <c:order val="1"/>
          <c:tx>
            <c:v>Measured</c:v>
          </c:tx>
          <c:spPr>
            <a:solidFill>
              <a:schemeClr val="accen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flows'!$L$4:$L$235</c:f>
              <c:numCache>
                <c:formatCode>0.0000</c:formatCode>
                <c:ptCount val="232"/>
                <c:pt idx="0">
                  <c:v>560.65</c:v>
                </c:pt>
                <c:pt idx="1">
                  <c:v>1122.6500000000001</c:v>
                </c:pt>
                <c:pt idx="2">
                  <c:v>3651.4</c:v>
                </c:pt>
                <c:pt idx="3">
                  <c:v>4005.19</c:v>
                </c:pt>
                <c:pt idx="4">
                  <c:v>3480.64</c:v>
                </c:pt>
                <c:pt idx="5">
                  <c:v>1623.84</c:v>
                </c:pt>
                <c:pt idx="6">
                  <c:v>719.32</c:v>
                </c:pt>
                <c:pt idx="7">
                  <c:v>414.31</c:v>
                </c:pt>
                <c:pt idx="8">
                  <c:v>296.56</c:v>
                </c:pt>
                <c:pt idx="9">
                  <c:v>226.3</c:v>
                </c:pt>
                <c:pt idx="10">
                  <c:v>240.36</c:v>
                </c:pt>
                <c:pt idx="11">
                  <c:v>368.08</c:v>
                </c:pt>
                <c:pt idx="12">
                  <c:v>503.62</c:v>
                </c:pt>
                <c:pt idx="13">
                  <c:v>711.11</c:v>
                </c:pt>
                <c:pt idx="14">
                  <c:v>1488.18</c:v>
                </c:pt>
                <c:pt idx="15">
                  <c:v>2026.89</c:v>
                </c:pt>
                <c:pt idx="16">
                  <c:v>2153.85</c:v>
                </c:pt>
                <c:pt idx="17">
                  <c:v>1382.54</c:v>
                </c:pt>
                <c:pt idx="18">
                  <c:v>592.9</c:v>
                </c:pt>
                <c:pt idx="19">
                  <c:v>346.38</c:v>
                </c:pt>
                <c:pt idx="20">
                  <c:v>256.36</c:v>
                </c:pt>
                <c:pt idx="21">
                  <c:v>216.23</c:v>
                </c:pt>
                <c:pt idx="22">
                  <c:v>217.93</c:v>
                </c:pt>
                <c:pt idx="23">
                  <c:v>264.76</c:v>
                </c:pt>
                <c:pt idx="24">
                  <c:v>491.64</c:v>
                </c:pt>
                <c:pt idx="25">
                  <c:v>909.72</c:v>
                </c:pt>
                <c:pt idx="26">
                  <c:v>1859.16</c:v>
                </c:pt>
                <c:pt idx="27">
                  <c:v>3749.43</c:v>
                </c:pt>
                <c:pt idx="28">
                  <c:v>3810.83</c:v>
                </c:pt>
                <c:pt idx="29">
                  <c:v>1801.34</c:v>
                </c:pt>
                <c:pt idx="30">
                  <c:v>763.73</c:v>
                </c:pt>
                <c:pt idx="31">
                  <c:v>409.06</c:v>
                </c:pt>
                <c:pt idx="32">
                  <c:v>288.11</c:v>
                </c:pt>
                <c:pt idx="33">
                  <c:v>216.45</c:v>
                </c:pt>
                <c:pt idx="34">
                  <c:v>212.26</c:v>
                </c:pt>
                <c:pt idx="35">
                  <c:v>280.60000000000002</c:v>
                </c:pt>
                <c:pt idx="36">
                  <c:v>500.98</c:v>
                </c:pt>
                <c:pt idx="37">
                  <c:v>1023.24</c:v>
                </c:pt>
                <c:pt idx="38">
                  <c:v>3583.94</c:v>
                </c:pt>
                <c:pt idx="39">
                  <c:v>5254.92</c:v>
                </c:pt>
                <c:pt idx="40">
                  <c:v>3663.43</c:v>
                </c:pt>
                <c:pt idx="41">
                  <c:v>1790.38</c:v>
                </c:pt>
                <c:pt idx="42">
                  <c:v>764.43</c:v>
                </c:pt>
                <c:pt idx="43">
                  <c:v>413.41</c:v>
                </c:pt>
                <c:pt idx="44">
                  <c:v>290.49</c:v>
                </c:pt>
                <c:pt idx="45">
                  <c:v>240.11</c:v>
                </c:pt>
                <c:pt idx="46">
                  <c:v>243.65</c:v>
                </c:pt>
                <c:pt idx="47">
                  <c:v>301.12</c:v>
                </c:pt>
                <c:pt idx="48">
                  <c:v>457.86</c:v>
                </c:pt>
                <c:pt idx="49">
                  <c:v>798.22</c:v>
                </c:pt>
                <c:pt idx="50">
                  <c:v>1372.34</c:v>
                </c:pt>
                <c:pt idx="51">
                  <c:v>1397.96</c:v>
                </c:pt>
                <c:pt idx="52">
                  <c:v>1424.21</c:v>
                </c:pt>
                <c:pt idx="53">
                  <c:v>875.81</c:v>
                </c:pt>
                <c:pt idx="54">
                  <c:v>432.65</c:v>
                </c:pt>
                <c:pt idx="55">
                  <c:v>305.26</c:v>
                </c:pt>
                <c:pt idx="56">
                  <c:v>226.63</c:v>
                </c:pt>
                <c:pt idx="57">
                  <c:v>200.59</c:v>
                </c:pt>
                <c:pt idx="58">
                  <c:v>176.16</c:v>
                </c:pt>
                <c:pt idx="59">
                  <c:v>246.32</c:v>
                </c:pt>
                <c:pt idx="60">
                  <c:v>385.68</c:v>
                </c:pt>
                <c:pt idx="61">
                  <c:v>707.7</c:v>
                </c:pt>
                <c:pt idx="62">
                  <c:v>1556.76</c:v>
                </c:pt>
                <c:pt idx="63">
                  <c:v>3285.81</c:v>
                </c:pt>
                <c:pt idx="64">
                  <c:v>2783.07</c:v>
                </c:pt>
                <c:pt idx="65">
                  <c:v>1527.03</c:v>
                </c:pt>
                <c:pt idx="66">
                  <c:v>633.9</c:v>
                </c:pt>
                <c:pt idx="67">
                  <c:v>351.86</c:v>
                </c:pt>
                <c:pt idx="68">
                  <c:v>249.39</c:v>
                </c:pt>
                <c:pt idx="69">
                  <c:v>207.51</c:v>
                </c:pt>
                <c:pt idx="70">
                  <c:v>235.53</c:v>
                </c:pt>
                <c:pt idx="71">
                  <c:v>351.23</c:v>
                </c:pt>
                <c:pt idx="72">
                  <c:v>719.79</c:v>
                </c:pt>
                <c:pt idx="73">
                  <c:v>4144.12</c:v>
                </c:pt>
                <c:pt idx="74">
                  <c:v>5255.52</c:v>
                </c:pt>
                <c:pt idx="75">
                  <c:v>3850.71</c:v>
                </c:pt>
                <c:pt idx="76">
                  <c:v>2761.97</c:v>
                </c:pt>
                <c:pt idx="77">
                  <c:v>1434.52</c:v>
                </c:pt>
                <c:pt idx="78">
                  <c:v>735.62</c:v>
                </c:pt>
                <c:pt idx="79">
                  <c:v>464.16</c:v>
                </c:pt>
                <c:pt idx="80">
                  <c:v>334.09</c:v>
                </c:pt>
                <c:pt idx="81">
                  <c:v>266.54000000000002</c:v>
                </c:pt>
                <c:pt idx="82">
                  <c:v>261.31</c:v>
                </c:pt>
                <c:pt idx="83">
                  <c:v>366.99</c:v>
                </c:pt>
                <c:pt idx="84">
                  <c:v>826.57</c:v>
                </c:pt>
                <c:pt idx="85">
                  <c:v>2704.26</c:v>
                </c:pt>
                <c:pt idx="86">
                  <c:v>3585.85</c:v>
                </c:pt>
                <c:pt idx="87">
                  <c:v>3721.38</c:v>
                </c:pt>
                <c:pt idx="88">
                  <c:v>2569.14</c:v>
                </c:pt>
                <c:pt idx="89">
                  <c:v>1335.51</c:v>
                </c:pt>
                <c:pt idx="90">
                  <c:v>612.51</c:v>
                </c:pt>
                <c:pt idx="91">
                  <c:v>376.8</c:v>
                </c:pt>
                <c:pt idx="92">
                  <c:v>268.51</c:v>
                </c:pt>
                <c:pt idx="93">
                  <c:v>203.11</c:v>
                </c:pt>
                <c:pt idx="94">
                  <c:v>234.6</c:v>
                </c:pt>
                <c:pt idx="95">
                  <c:v>421.71</c:v>
                </c:pt>
                <c:pt idx="96">
                  <c:v>810.44</c:v>
                </c:pt>
                <c:pt idx="97">
                  <c:v>1767.96</c:v>
                </c:pt>
                <c:pt idx="98">
                  <c:v>5619.73</c:v>
                </c:pt>
                <c:pt idx="99">
                  <c:v>5750.46</c:v>
                </c:pt>
                <c:pt idx="100">
                  <c:v>2796.89</c:v>
                </c:pt>
                <c:pt idx="101">
                  <c:v>1427.55</c:v>
                </c:pt>
                <c:pt idx="102">
                  <c:v>705.13</c:v>
                </c:pt>
                <c:pt idx="103">
                  <c:v>435.51</c:v>
                </c:pt>
                <c:pt idx="104">
                  <c:v>314.19</c:v>
                </c:pt>
                <c:pt idx="105">
                  <c:v>254.96</c:v>
                </c:pt>
                <c:pt idx="106">
                  <c:v>264.89</c:v>
                </c:pt>
                <c:pt idx="107">
                  <c:v>424.05</c:v>
                </c:pt>
                <c:pt idx="108">
                  <c:v>766.1</c:v>
                </c:pt>
                <c:pt idx="109">
                  <c:v>1866.27</c:v>
                </c:pt>
                <c:pt idx="110">
                  <c:v>5407.06</c:v>
                </c:pt>
                <c:pt idx="111">
                  <c:v>5666.44</c:v>
                </c:pt>
                <c:pt idx="112">
                  <c:v>4616.05</c:v>
                </c:pt>
                <c:pt idx="113">
                  <c:v>2180.15</c:v>
                </c:pt>
                <c:pt idx="114">
                  <c:v>1094.76</c:v>
                </c:pt>
                <c:pt idx="115">
                  <c:v>624.26</c:v>
                </c:pt>
                <c:pt idx="116">
                  <c:v>423.09</c:v>
                </c:pt>
                <c:pt idx="117">
                  <c:v>305.95999999999998</c:v>
                </c:pt>
                <c:pt idx="118">
                  <c:v>271.39</c:v>
                </c:pt>
                <c:pt idx="119">
                  <c:v>403.7</c:v>
                </c:pt>
                <c:pt idx="120">
                  <c:v>1335.23</c:v>
                </c:pt>
                <c:pt idx="121">
                  <c:v>3436.92</c:v>
                </c:pt>
                <c:pt idx="122">
                  <c:v>4685.88</c:v>
                </c:pt>
                <c:pt idx="123">
                  <c:v>5332.4</c:v>
                </c:pt>
                <c:pt idx="124">
                  <c:v>4132.87</c:v>
                </c:pt>
                <c:pt idx="125">
                  <c:v>1917.98</c:v>
                </c:pt>
                <c:pt idx="126">
                  <c:v>950.02</c:v>
                </c:pt>
                <c:pt idx="127">
                  <c:v>570.1</c:v>
                </c:pt>
                <c:pt idx="128">
                  <c:v>392.56</c:v>
                </c:pt>
                <c:pt idx="129">
                  <c:v>302.31</c:v>
                </c:pt>
                <c:pt idx="130">
                  <c:v>300.91000000000003</c:v>
                </c:pt>
                <c:pt idx="131">
                  <c:v>449.5</c:v>
                </c:pt>
                <c:pt idx="132">
                  <c:v>808.28</c:v>
                </c:pt>
                <c:pt idx="133">
                  <c:v>1798.7</c:v>
                </c:pt>
                <c:pt idx="134">
                  <c:v>2863.89</c:v>
                </c:pt>
                <c:pt idx="135">
                  <c:v>3949.54</c:v>
                </c:pt>
                <c:pt idx="136">
                  <c:v>3222.21</c:v>
                </c:pt>
                <c:pt idx="137">
                  <c:v>1426.85</c:v>
                </c:pt>
                <c:pt idx="138">
                  <c:v>663.35</c:v>
                </c:pt>
                <c:pt idx="139">
                  <c:v>451.88</c:v>
                </c:pt>
                <c:pt idx="140">
                  <c:v>366.56</c:v>
                </c:pt>
                <c:pt idx="141">
                  <c:v>305.5</c:v>
                </c:pt>
                <c:pt idx="142">
                  <c:v>282.70999999999998</c:v>
                </c:pt>
                <c:pt idx="143">
                  <c:v>424.78</c:v>
                </c:pt>
                <c:pt idx="144">
                  <c:v>1216.26</c:v>
                </c:pt>
                <c:pt idx="145">
                  <c:v>3776.46</c:v>
                </c:pt>
                <c:pt idx="146">
                  <c:v>4190.91</c:v>
                </c:pt>
                <c:pt idx="147">
                  <c:v>3636.4</c:v>
                </c:pt>
                <c:pt idx="148">
                  <c:v>2414.7199999999998</c:v>
                </c:pt>
                <c:pt idx="149">
                  <c:v>1074.75</c:v>
                </c:pt>
                <c:pt idx="150">
                  <c:v>545.74</c:v>
                </c:pt>
                <c:pt idx="151">
                  <c:v>393.8</c:v>
                </c:pt>
                <c:pt idx="152">
                  <c:v>302.95999999999998</c:v>
                </c:pt>
                <c:pt idx="153">
                  <c:v>244.31</c:v>
                </c:pt>
                <c:pt idx="154">
                  <c:v>242.92</c:v>
                </c:pt>
                <c:pt idx="155">
                  <c:v>408.51</c:v>
                </c:pt>
                <c:pt idx="156">
                  <c:v>724.85</c:v>
                </c:pt>
                <c:pt idx="157">
                  <c:v>1436.11</c:v>
                </c:pt>
                <c:pt idx="158">
                  <c:v>2669.98</c:v>
                </c:pt>
                <c:pt idx="159">
                  <c:v>4195.72</c:v>
                </c:pt>
                <c:pt idx="160">
                  <c:v>3773.12</c:v>
                </c:pt>
                <c:pt idx="161">
                  <c:v>2127.89</c:v>
                </c:pt>
                <c:pt idx="162">
                  <c:v>995.25</c:v>
                </c:pt>
                <c:pt idx="163">
                  <c:v>526.73</c:v>
                </c:pt>
                <c:pt idx="164">
                  <c:v>369.28</c:v>
                </c:pt>
                <c:pt idx="165">
                  <c:v>282.10000000000002</c:v>
                </c:pt>
                <c:pt idx="166">
                  <c:v>260.92</c:v>
                </c:pt>
                <c:pt idx="167">
                  <c:v>344.09</c:v>
                </c:pt>
                <c:pt idx="168">
                  <c:v>536.23</c:v>
                </c:pt>
                <c:pt idx="169">
                  <c:v>871.9</c:v>
                </c:pt>
                <c:pt idx="170">
                  <c:v>1277.32</c:v>
                </c:pt>
                <c:pt idx="171">
                  <c:v>1470.2</c:v>
                </c:pt>
                <c:pt idx="172">
                  <c:v>1566.06</c:v>
                </c:pt>
                <c:pt idx="173">
                  <c:v>1141.42</c:v>
                </c:pt>
                <c:pt idx="174">
                  <c:v>541.71</c:v>
                </c:pt>
                <c:pt idx="175">
                  <c:v>357.79</c:v>
                </c:pt>
                <c:pt idx="176">
                  <c:v>267.5</c:v>
                </c:pt>
                <c:pt idx="177">
                  <c:v>210.72</c:v>
                </c:pt>
                <c:pt idx="178">
                  <c:v>207.96</c:v>
                </c:pt>
                <c:pt idx="179">
                  <c:v>266.08</c:v>
                </c:pt>
                <c:pt idx="180">
                  <c:v>437.26</c:v>
                </c:pt>
                <c:pt idx="181">
                  <c:v>790.22</c:v>
                </c:pt>
                <c:pt idx="182">
                  <c:v>2922.87</c:v>
                </c:pt>
                <c:pt idx="183">
                  <c:v>3610.69</c:v>
                </c:pt>
                <c:pt idx="184">
                  <c:v>2721.59</c:v>
                </c:pt>
                <c:pt idx="185">
                  <c:v>1253.1500000000001</c:v>
                </c:pt>
                <c:pt idx="186">
                  <c:v>541.77</c:v>
                </c:pt>
                <c:pt idx="187">
                  <c:v>355.77</c:v>
                </c:pt>
                <c:pt idx="188">
                  <c:v>268.64</c:v>
                </c:pt>
                <c:pt idx="189">
                  <c:v>217.33</c:v>
                </c:pt>
                <c:pt idx="190">
                  <c:v>205.12</c:v>
                </c:pt>
                <c:pt idx="191">
                  <c:v>291.14999999999998</c:v>
                </c:pt>
                <c:pt idx="192">
                  <c:v>563.69000000000005</c:v>
                </c:pt>
                <c:pt idx="193">
                  <c:v>1017.37</c:v>
                </c:pt>
                <c:pt idx="194">
                  <c:v>2667.57</c:v>
                </c:pt>
                <c:pt idx="195">
                  <c:v>4150.6899999999996</c:v>
                </c:pt>
                <c:pt idx="196">
                  <c:v>2290.19</c:v>
                </c:pt>
                <c:pt idx="197">
                  <c:v>1148.1500000000001</c:v>
                </c:pt>
                <c:pt idx="198">
                  <c:v>521</c:v>
                </c:pt>
                <c:pt idx="199">
                  <c:v>338.79</c:v>
                </c:pt>
                <c:pt idx="200">
                  <c:v>241.03</c:v>
                </c:pt>
                <c:pt idx="201">
                  <c:v>202.75</c:v>
                </c:pt>
                <c:pt idx="202">
                  <c:v>204.8</c:v>
                </c:pt>
                <c:pt idx="203">
                  <c:v>321.48</c:v>
                </c:pt>
                <c:pt idx="204">
                  <c:v>669.88</c:v>
                </c:pt>
                <c:pt idx="205">
                  <c:v>1809.29</c:v>
                </c:pt>
                <c:pt idx="206">
                  <c:v>3878.89</c:v>
                </c:pt>
                <c:pt idx="207">
                  <c:v>5069.2</c:v>
                </c:pt>
                <c:pt idx="208">
                  <c:v>5128.51</c:v>
                </c:pt>
                <c:pt idx="209">
                  <c:v>2329.9499999999998</c:v>
                </c:pt>
                <c:pt idx="210">
                  <c:v>1042.33</c:v>
                </c:pt>
                <c:pt idx="211">
                  <c:v>531.41</c:v>
                </c:pt>
                <c:pt idx="212">
                  <c:v>356.96</c:v>
                </c:pt>
                <c:pt idx="213">
                  <c:v>258.39999999999998</c:v>
                </c:pt>
                <c:pt idx="214">
                  <c:v>224.88</c:v>
                </c:pt>
                <c:pt idx="215">
                  <c:v>251.53</c:v>
                </c:pt>
                <c:pt idx="216">
                  <c:v>437.96</c:v>
                </c:pt>
                <c:pt idx="217">
                  <c:v>664.43</c:v>
                </c:pt>
                <c:pt idx="218">
                  <c:v>831.62</c:v>
                </c:pt>
                <c:pt idx="219">
                  <c:v>1023.88</c:v>
                </c:pt>
                <c:pt idx="220">
                  <c:v>965.03</c:v>
                </c:pt>
                <c:pt idx="221">
                  <c:v>516.4</c:v>
                </c:pt>
                <c:pt idx="222">
                  <c:v>324.99</c:v>
                </c:pt>
                <c:pt idx="223">
                  <c:v>256.69</c:v>
                </c:pt>
                <c:pt idx="224">
                  <c:v>205.62</c:v>
                </c:pt>
                <c:pt idx="225">
                  <c:v>153.68</c:v>
                </c:pt>
                <c:pt idx="226">
                  <c:v>172.42</c:v>
                </c:pt>
                <c:pt idx="227">
                  <c:v>290.36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3-452F-B1A1-CCFF6DAFA43B}"/>
            </c:ext>
          </c:extLst>
        </c:ser>
        <c:ser>
          <c:idx val="2"/>
          <c:order val="2"/>
          <c:tx>
            <c:v>Orange</c:v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flows'!$R$4:$R$27</c:f>
              <c:numCache>
                <c:formatCode>0.000</c:formatCode>
                <c:ptCount val="24"/>
                <c:pt idx="0">
                  <c:v>260.54000000000002</c:v>
                </c:pt>
                <c:pt idx="1">
                  <c:v>26.61</c:v>
                </c:pt>
                <c:pt idx="2">
                  <c:v>20.43</c:v>
                </c:pt>
                <c:pt idx="3">
                  <c:v>80.25</c:v>
                </c:pt>
                <c:pt idx="4">
                  <c:v>314.99</c:v>
                </c:pt>
                <c:pt idx="5">
                  <c:v>206.46</c:v>
                </c:pt>
                <c:pt idx="6">
                  <c:v>174.6</c:v>
                </c:pt>
                <c:pt idx="7">
                  <c:v>31.58</c:v>
                </c:pt>
                <c:pt idx="8">
                  <c:v>78.150000000000006</c:v>
                </c:pt>
                <c:pt idx="9">
                  <c:v>261.61</c:v>
                </c:pt>
                <c:pt idx="10">
                  <c:v>295.98</c:v>
                </c:pt>
                <c:pt idx="11">
                  <c:v>1381.95</c:v>
                </c:pt>
                <c:pt idx="12">
                  <c:v>766.78</c:v>
                </c:pt>
                <c:pt idx="13">
                  <c:v>1110.8399999999999</c:v>
                </c:pt>
                <c:pt idx="14">
                  <c:v>469.43</c:v>
                </c:pt>
                <c:pt idx="15">
                  <c:v>187.24</c:v>
                </c:pt>
                <c:pt idx="16">
                  <c:v>96.74</c:v>
                </c:pt>
                <c:pt idx="17">
                  <c:v>58.09</c:v>
                </c:pt>
                <c:pt idx="18">
                  <c:v>26.82</c:v>
                </c:pt>
                <c:pt idx="19">
                  <c:v>91.68</c:v>
                </c:pt>
                <c:pt idx="20">
                  <c:v>726.86</c:v>
                </c:pt>
                <c:pt idx="21">
                  <c:v>373.42</c:v>
                </c:pt>
                <c:pt idx="22">
                  <c:v>184.88</c:v>
                </c:pt>
                <c:pt idx="23">
                  <c:v>56.64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3-452F-B1A1-CCFF6DAF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in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Okavango - Cuito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27862827164039E-2"/>
          <c:y val="0.15900665275532347"/>
          <c:w val="0.94576310006633491"/>
          <c:h val="0.69725545955770263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flows'!$U$4:$U$236</c:f>
              <c:numCache>
                <c:formatCode>General</c:formatCode>
                <c:ptCount val="233"/>
                <c:pt idx="0">
                  <c:v>63.86</c:v>
                </c:pt>
                <c:pt idx="1">
                  <c:v>28.050000000000011</c:v>
                </c:pt>
                <c:pt idx="2">
                  <c:v>16.329999999999984</c:v>
                </c:pt>
                <c:pt idx="3">
                  <c:v>149.36000000000001</c:v>
                </c:pt>
                <c:pt idx="4">
                  <c:v>347.4</c:v>
                </c:pt>
                <c:pt idx="5">
                  <c:v>227.71999999999997</c:v>
                </c:pt>
                <c:pt idx="6">
                  <c:v>214.76</c:v>
                </c:pt>
                <c:pt idx="7">
                  <c:v>128.36000000000001</c:v>
                </c:pt>
                <c:pt idx="8">
                  <c:v>98.63000000000001</c:v>
                </c:pt>
                <c:pt idx="9">
                  <c:v>79.69</c:v>
                </c:pt>
                <c:pt idx="10">
                  <c:v>75.759999999999991</c:v>
                </c:pt>
                <c:pt idx="11">
                  <c:v>94.45</c:v>
                </c:pt>
                <c:pt idx="12">
                  <c:v>91.56</c:v>
                </c:pt>
                <c:pt idx="13">
                  <c:v>55.489999999999981</c:v>
                </c:pt>
                <c:pt idx="14">
                  <c:v>47.29000000000002</c:v>
                </c:pt>
                <c:pt idx="15">
                  <c:v>104.86000000000001</c:v>
                </c:pt>
                <c:pt idx="16">
                  <c:v>175.77000000000004</c:v>
                </c:pt>
                <c:pt idx="17">
                  <c:v>167.72999999999996</c:v>
                </c:pt>
                <c:pt idx="18">
                  <c:v>132.85</c:v>
                </c:pt>
                <c:pt idx="19">
                  <c:v>113.26</c:v>
                </c:pt>
                <c:pt idx="20">
                  <c:v>101.83</c:v>
                </c:pt>
                <c:pt idx="21">
                  <c:v>90.09</c:v>
                </c:pt>
                <c:pt idx="22">
                  <c:v>76.640000000000015</c:v>
                </c:pt>
                <c:pt idx="23">
                  <c:v>94.01</c:v>
                </c:pt>
                <c:pt idx="24">
                  <c:v>92.800000000000011</c:v>
                </c:pt>
                <c:pt idx="25">
                  <c:v>50.129999999999995</c:v>
                </c:pt>
                <c:pt idx="26">
                  <c:v>117.12</c:v>
                </c:pt>
                <c:pt idx="27">
                  <c:v>135.81</c:v>
                </c:pt>
                <c:pt idx="28">
                  <c:v>148.02000000000001</c:v>
                </c:pt>
                <c:pt idx="29">
                  <c:v>148.58999999999997</c:v>
                </c:pt>
                <c:pt idx="30">
                  <c:v>115.02</c:v>
                </c:pt>
                <c:pt idx="31">
                  <c:v>92.169999999999987</c:v>
                </c:pt>
                <c:pt idx="32">
                  <c:v>85.6</c:v>
                </c:pt>
                <c:pt idx="33">
                  <c:v>73.789999999999992</c:v>
                </c:pt>
                <c:pt idx="34">
                  <c:v>75.77</c:v>
                </c:pt>
                <c:pt idx="35">
                  <c:v>105.92</c:v>
                </c:pt>
                <c:pt idx="36">
                  <c:v>228.69999999999993</c:v>
                </c:pt>
                <c:pt idx="37">
                  <c:v>352.30999999999995</c:v>
                </c:pt>
                <c:pt idx="38">
                  <c:v>374.26</c:v>
                </c:pt>
                <c:pt idx="39">
                  <c:v>220.85000000000002</c:v>
                </c:pt>
                <c:pt idx="40">
                  <c:v>285.28000000000003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96.81</c:v>
                </c:pt>
                <c:pt idx="46">
                  <c:v>90.760000000000019</c:v>
                </c:pt>
                <c:pt idx="47">
                  <c:v>95.77</c:v>
                </c:pt>
                <c:pt idx="48">
                  <c:v>80.509999999999991</c:v>
                </c:pt>
                <c:pt idx="49">
                  <c:v>39.230000000000018</c:v>
                </c:pt>
                <c:pt idx="50">
                  <c:v>122.88999999999999</c:v>
                </c:pt>
                <c:pt idx="51">
                  <c:v>105.87</c:v>
                </c:pt>
                <c:pt idx="52">
                  <c:v>284.13</c:v>
                </c:pt>
                <c:pt idx="53">
                  <c:v>207.11</c:v>
                </c:pt>
                <c:pt idx="54">
                  <c:v>124.63</c:v>
                </c:pt>
                <c:pt idx="55">
                  <c:v>89.139999999999986</c:v>
                </c:pt>
                <c:pt idx="56">
                  <c:v>85.94</c:v>
                </c:pt>
                <c:pt idx="57">
                  <c:v>82.240000000000009</c:v>
                </c:pt>
                <c:pt idx="58">
                  <c:v>83.25</c:v>
                </c:pt>
                <c:pt idx="59">
                  <c:v>93.26</c:v>
                </c:pt>
                <c:pt idx="60">
                  <c:v>102.02000000000001</c:v>
                </c:pt>
                <c:pt idx="61">
                  <c:v>132.21999999999997</c:v>
                </c:pt>
                <c:pt idx="62">
                  <c:v>140.57000000000002</c:v>
                </c:pt>
                <c:pt idx="63">
                  <c:v>153.82999999999998</c:v>
                </c:pt>
                <c:pt idx="64">
                  <c:v>179.84999999999997</c:v>
                </c:pt>
                <c:pt idx="65">
                  <c:v>202.00000000000003</c:v>
                </c:pt>
                <c:pt idx="66">
                  <c:v>148.76</c:v>
                </c:pt>
                <c:pt idx="67">
                  <c:v>110.68</c:v>
                </c:pt>
                <c:pt idx="68">
                  <c:v>102.05999999999999</c:v>
                </c:pt>
                <c:pt idx="69">
                  <c:v>95.18</c:v>
                </c:pt>
                <c:pt idx="70">
                  <c:v>103.97</c:v>
                </c:pt>
                <c:pt idx="71">
                  <c:v>31.54000000000002</c:v>
                </c:pt>
                <c:pt idx="72">
                  <c:v>75.410000000000025</c:v>
                </c:pt>
                <c:pt idx="73">
                  <c:v>106.25</c:v>
                </c:pt>
                <c:pt idx="74">
                  <c:v>82.88</c:v>
                </c:pt>
                <c:pt idx="75">
                  <c:v>300.55000000000007</c:v>
                </c:pt>
                <c:pt idx="76">
                  <c:v>250.12</c:v>
                </c:pt>
                <c:pt idx="77">
                  <c:v>219.52</c:v>
                </c:pt>
                <c:pt idx="78">
                  <c:v>196.92000000000002</c:v>
                </c:pt>
                <c:pt idx="79">
                  <c:v>189.45</c:v>
                </c:pt>
                <c:pt idx="80">
                  <c:v>166.26</c:v>
                </c:pt>
                <c:pt idx="81">
                  <c:v>138.78</c:v>
                </c:pt>
                <c:pt idx="82">
                  <c:v>109.36000000000001</c:v>
                </c:pt>
                <c:pt idx="83">
                  <c:v>87.539999999999992</c:v>
                </c:pt>
                <c:pt idx="84">
                  <c:v>115.08999999999999</c:v>
                </c:pt>
                <c:pt idx="85">
                  <c:v>143.65</c:v>
                </c:pt>
                <c:pt idx="86">
                  <c:v>129.21999999999997</c:v>
                </c:pt>
                <c:pt idx="87">
                  <c:v>187.53999999999996</c:v>
                </c:pt>
                <c:pt idx="88">
                  <c:v>207.45</c:v>
                </c:pt>
                <c:pt idx="89">
                  <c:v>175.18000000000004</c:v>
                </c:pt>
                <c:pt idx="90">
                  <c:v>151.1</c:v>
                </c:pt>
                <c:pt idx="91">
                  <c:v>120.46</c:v>
                </c:pt>
                <c:pt idx="92">
                  <c:v>106.43999999999998</c:v>
                </c:pt>
                <c:pt idx="93">
                  <c:v>91.12</c:v>
                </c:pt>
                <c:pt idx="94">
                  <c:v>89.31</c:v>
                </c:pt>
                <c:pt idx="95">
                  <c:v>81.460000000000008</c:v>
                </c:pt>
                <c:pt idx="96">
                  <c:v>150.46999999999997</c:v>
                </c:pt>
                <c:pt idx="97">
                  <c:v>211.03000000000003</c:v>
                </c:pt>
                <c:pt idx="98">
                  <c:v>271.48</c:v>
                </c:pt>
                <c:pt idx="99">
                  <c:v>319.33000000000004</c:v>
                </c:pt>
                <c:pt idx="100">
                  <c:v>275.12</c:v>
                </c:pt>
                <c:pt idx="101">
                  <c:v>185.00000000000003</c:v>
                </c:pt>
                <c:pt idx="102">
                  <c:v>130.30000000000001</c:v>
                </c:pt>
                <c:pt idx="103">
                  <c:v>117.05000000000001</c:v>
                </c:pt>
                <c:pt idx="104">
                  <c:v>119.37</c:v>
                </c:pt>
                <c:pt idx="105">
                  <c:v>111.24</c:v>
                </c:pt>
                <c:pt idx="106">
                  <c:v>102.87999999999998</c:v>
                </c:pt>
                <c:pt idx="107">
                  <c:v>85.039999999999992</c:v>
                </c:pt>
                <c:pt idx="109">
                  <c:v>222.81</c:v>
                </c:pt>
                <c:pt idx="110">
                  <c:v>104.61000000000001</c:v>
                </c:pt>
                <c:pt idx="111">
                  <c:v>366.63</c:v>
                </c:pt>
                <c:pt idx="112">
                  <c:v>359</c:v>
                </c:pt>
                <c:pt idx="113">
                  <c:v>248.26999999999998</c:v>
                </c:pt>
                <c:pt idx="114">
                  <c:v>184.6</c:v>
                </c:pt>
                <c:pt idx="115">
                  <c:v>147.32999999999998</c:v>
                </c:pt>
                <c:pt idx="116">
                  <c:v>124.31</c:v>
                </c:pt>
                <c:pt idx="117">
                  <c:v>107.74</c:v>
                </c:pt>
                <c:pt idx="118">
                  <c:v>95.68</c:v>
                </c:pt>
                <c:pt idx="119">
                  <c:v>87.510000000000019</c:v>
                </c:pt>
                <c:pt idx="120">
                  <c:v>108.65999999999997</c:v>
                </c:pt>
                <c:pt idx="121">
                  <c:v>115.47000000000003</c:v>
                </c:pt>
                <c:pt idx="122">
                  <c:v>108.44000000000005</c:v>
                </c:pt>
                <c:pt idx="123">
                  <c:v>101.24000000000001</c:v>
                </c:pt>
                <c:pt idx="124">
                  <c:v>103.73000000000002</c:v>
                </c:pt>
                <c:pt idx="125">
                  <c:v>172.82</c:v>
                </c:pt>
                <c:pt idx="126">
                  <c:v>167.95000000000002</c:v>
                </c:pt>
                <c:pt idx="127">
                  <c:v>137.85</c:v>
                </c:pt>
                <c:pt idx="128">
                  <c:v>131.41000000000003</c:v>
                </c:pt>
                <c:pt idx="129">
                  <c:v>143.16999999999999</c:v>
                </c:pt>
                <c:pt idx="130">
                  <c:v>140.44999999999999</c:v>
                </c:pt>
                <c:pt idx="131">
                  <c:v>123.88</c:v>
                </c:pt>
                <c:pt idx="132">
                  <c:v>276.15000000000003</c:v>
                </c:pt>
                <c:pt idx="133">
                  <c:v>218.06000000000006</c:v>
                </c:pt>
                <c:pt idx="134">
                  <c:v>107.44999999999999</c:v>
                </c:pt>
                <c:pt idx="135">
                  <c:v>331.81999999999994</c:v>
                </c:pt>
                <c:pt idx="136">
                  <c:v>225.72</c:v>
                </c:pt>
                <c:pt idx="137">
                  <c:v>184.46</c:v>
                </c:pt>
                <c:pt idx="138">
                  <c:v>136.82</c:v>
                </c:pt>
                <c:pt idx="139">
                  <c:v>128.88999999999999</c:v>
                </c:pt>
                <c:pt idx="140">
                  <c:v>117.03999999999999</c:v>
                </c:pt>
                <c:pt idx="141">
                  <c:v>103.41</c:v>
                </c:pt>
                <c:pt idx="142">
                  <c:v>103</c:v>
                </c:pt>
                <c:pt idx="143">
                  <c:v>90.47999999999999</c:v>
                </c:pt>
                <c:pt idx="144">
                  <c:v>118.82999999999998</c:v>
                </c:pt>
                <c:pt idx="145">
                  <c:v>139.94999999999999</c:v>
                </c:pt>
                <c:pt idx="146">
                  <c:v>161.52000000000004</c:v>
                </c:pt>
                <c:pt idx="147">
                  <c:v>190.95999999999998</c:v>
                </c:pt>
                <c:pt idx="148">
                  <c:v>205.10999999999999</c:v>
                </c:pt>
                <c:pt idx="149">
                  <c:v>153.47</c:v>
                </c:pt>
                <c:pt idx="150">
                  <c:v>131.41000000000003</c:v>
                </c:pt>
                <c:pt idx="151">
                  <c:v>122.31</c:v>
                </c:pt>
                <c:pt idx="152">
                  <c:v>116.22</c:v>
                </c:pt>
                <c:pt idx="153">
                  <c:v>98.24</c:v>
                </c:pt>
                <c:pt idx="154">
                  <c:v>88.179999999999993</c:v>
                </c:pt>
                <c:pt idx="155">
                  <c:v>85.949999999999989</c:v>
                </c:pt>
                <c:pt idx="156">
                  <c:v>120.19999999999999</c:v>
                </c:pt>
                <c:pt idx="157">
                  <c:v>125.57</c:v>
                </c:pt>
                <c:pt idx="158">
                  <c:v>114.57</c:v>
                </c:pt>
                <c:pt idx="159">
                  <c:v>167.58000000000004</c:v>
                </c:pt>
                <c:pt idx="160">
                  <c:v>264.23999999999995</c:v>
                </c:pt>
                <c:pt idx="161">
                  <c:v>197.94</c:v>
                </c:pt>
                <c:pt idx="162">
                  <c:v>156.88999999999999</c:v>
                </c:pt>
                <c:pt idx="163">
                  <c:v>127.67999999999999</c:v>
                </c:pt>
                <c:pt idx="164">
                  <c:v>111</c:v>
                </c:pt>
                <c:pt idx="165">
                  <c:v>98.539999999999992</c:v>
                </c:pt>
                <c:pt idx="166">
                  <c:v>102.69</c:v>
                </c:pt>
                <c:pt idx="167">
                  <c:v>55.22999999999999</c:v>
                </c:pt>
                <c:pt idx="168">
                  <c:v>112.17999999999995</c:v>
                </c:pt>
                <c:pt idx="169">
                  <c:v>39.620000000000061</c:v>
                </c:pt>
                <c:pt idx="170">
                  <c:v>134.87000000000006</c:v>
                </c:pt>
                <c:pt idx="171">
                  <c:v>177.94000000000005</c:v>
                </c:pt>
                <c:pt idx="172">
                  <c:v>162.01</c:v>
                </c:pt>
                <c:pt idx="173">
                  <c:v>133.76999999999998</c:v>
                </c:pt>
                <c:pt idx="174">
                  <c:v>108.91999999999999</c:v>
                </c:pt>
                <c:pt idx="175">
                  <c:v>103.74</c:v>
                </c:pt>
                <c:pt idx="176">
                  <c:v>100.89</c:v>
                </c:pt>
                <c:pt idx="177">
                  <c:v>100.04000000000002</c:v>
                </c:pt>
                <c:pt idx="178">
                  <c:v>93.13000000000001</c:v>
                </c:pt>
                <c:pt idx="179">
                  <c:v>84.59</c:v>
                </c:pt>
                <c:pt idx="180">
                  <c:v>57.119999999999976</c:v>
                </c:pt>
                <c:pt idx="181">
                  <c:v>69.660000000000025</c:v>
                </c:pt>
                <c:pt idx="182">
                  <c:v>21.300000000000011</c:v>
                </c:pt>
                <c:pt idx="183">
                  <c:v>154.01999999999998</c:v>
                </c:pt>
                <c:pt idx="184">
                  <c:v>221.59999999999997</c:v>
                </c:pt>
                <c:pt idx="185">
                  <c:v>162.70000000000002</c:v>
                </c:pt>
                <c:pt idx="186">
                  <c:v>122.55</c:v>
                </c:pt>
                <c:pt idx="187">
                  <c:v>111.44999999999999</c:v>
                </c:pt>
                <c:pt idx="188">
                  <c:v>104.47</c:v>
                </c:pt>
                <c:pt idx="189">
                  <c:v>116.28</c:v>
                </c:pt>
                <c:pt idx="190">
                  <c:v>129.49</c:v>
                </c:pt>
                <c:pt idx="191">
                  <c:v>181.89</c:v>
                </c:pt>
                <c:pt idx="192">
                  <c:v>227.95000000000002</c:v>
                </c:pt>
                <c:pt idx="193">
                  <c:v>214.95</c:v>
                </c:pt>
                <c:pt idx="194">
                  <c:v>232.72000000000003</c:v>
                </c:pt>
                <c:pt idx="195">
                  <c:v>230.86</c:v>
                </c:pt>
                <c:pt idx="196">
                  <c:v>193.9</c:v>
                </c:pt>
                <c:pt idx="197">
                  <c:v>160.5</c:v>
                </c:pt>
                <c:pt idx="198">
                  <c:v>144.32</c:v>
                </c:pt>
                <c:pt idx="199">
                  <c:v>135.26</c:v>
                </c:pt>
                <c:pt idx="200">
                  <c:v>122.72000000000001</c:v>
                </c:pt>
                <c:pt idx="201">
                  <c:v>111.53</c:v>
                </c:pt>
                <c:pt idx="202">
                  <c:v>115.06000000000002</c:v>
                </c:pt>
                <c:pt idx="203">
                  <c:v>132.07</c:v>
                </c:pt>
                <c:pt idx="204">
                  <c:v>169.45999999999998</c:v>
                </c:pt>
                <c:pt idx="205">
                  <c:v>227.81</c:v>
                </c:pt>
                <c:pt idx="206">
                  <c:v>237.7</c:v>
                </c:pt>
                <c:pt idx="207">
                  <c:v>276.52000000000004</c:v>
                </c:pt>
                <c:pt idx="208">
                  <c:v>267.02</c:v>
                </c:pt>
                <c:pt idx="209">
                  <c:v>194.18</c:v>
                </c:pt>
                <c:pt idx="210">
                  <c:v>104.47999999999999</c:v>
                </c:pt>
                <c:pt idx="211">
                  <c:v>71.820000000000007</c:v>
                </c:pt>
                <c:pt idx="212">
                  <c:v>68.299999999999983</c:v>
                </c:pt>
                <c:pt idx="213">
                  <c:v>65.389999999999986</c:v>
                </c:pt>
                <c:pt idx="214">
                  <c:v>71.650000000000006</c:v>
                </c:pt>
                <c:pt idx="215">
                  <c:v>80.31</c:v>
                </c:pt>
                <c:pt idx="216">
                  <c:v>83.060000000000016</c:v>
                </c:pt>
                <c:pt idx="217">
                  <c:v>71.329999999999984</c:v>
                </c:pt>
                <c:pt idx="218">
                  <c:v>97.87</c:v>
                </c:pt>
                <c:pt idx="219">
                  <c:v>91.57</c:v>
                </c:pt>
                <c:pt idx="220">
                  <c:v>93.480000000000018</c:v>
                </c:pt>
                <c:pt idx="221">
                  <c:v>87.48</c:v>
                </c:pt>
                <c:pt idx="222">
                  <c:v>82.799999999999983</c:v>
                </c:pt>
                <c:pt idx="223">
                  <c:v>85.85</c:v>
                </c:pt>
                <c:pt idx="224">
                  <c:v>90.6</c:v>
                </c:pt>
                <c:pt idx="225">
                  <c:v>87.33</c:v>
                </c:pt>
                <c:pt idx="226">
                  <c:v>77.709999999999994</c:v>
                </c:pt>
                <c:pt idx="227">
                  <c:v>73.36999999999999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4D39-A8ED-CADC957B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22752"/>
        <c:axId val="694022424"/>
      </c:area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flows'!$V$4:$V$231</c:f>
              <c:numCache>
                <c:formatCode>0.0000</c:formatCode>
                <c:ptCount val="228"/>
                <c:pt idx="0">
                  <c:v>126.33499999999998</c:v>
                </c:pt>
                <c:pt idx="1">
                  <c:v>134.9257894736842</c:v>
                </c:pt>
                <c:pt idx="2">
                  <c:v>138.05736842105264</c:v>
                </c:pt>
                <c:pt idx="3">
                  <c:v>198.27052631578945</c:v>
                </c:pt>
                <c:pt idx="4">
                  <c:v>223.628947368421</c:v>
                </c:pt>
                <c:pt idx="5">
                  <c:v>179.35777777777776</c:v>
                </c:pt>
                <c:pt idx="6">
                  <c:v>141.94888888888892</c:v>
                </c:pt>
                <c:pt idx="7">
                  <c:v>118.48611111111111</c:v>
                </c:pt>
                <c:pt idx="8">
                  <c:v>108.505</c:v>
                </c:pt>
                <c:pt idx="9">
                  <c:v>99.505789473684189</c:v>
                </c:pt>
                <c:pt idx="10">
                  <c:v>96.038947368421077</c:v>
                </c:pt>
                <c:pt idx="11">
                  <c:v>92.856315789473669</c:v>
                </c:pt>
                <c:pt idx="12">
                  <c:v>126.33499999999998</c:v>
                </c:pt>
                <c:pt idx="13">
                  <c:v>134.9257894736842</c:v>
                </c:pt>
                <c:pt idx="14">
                  <c:v>138.05736842105264</c:v>
                </c:pt>
                <c:pt idx="15">
                  <c:v>198.27052631578945</c:v>
                </c:pt>
                <c:pt idx="16">
                  <c:v>223.628947368421</c:v>
                </c:pt>
                <c:pt idx="17">
                  <c:v>179.35777777777776</c:v>
                </c:pt>
                <c:pt idx="18">
                  <c:v>141.94888888888892</c:v>
                </c:pt>
                <c:pt idx="19">
                  <c:v>118.48611111111111</c:v>
                </c:pt>
                <c:pt idx="20">
                  <c:v>108.505</c:v>
                </c:pt>
                <c:pt idx="21">
                  <c:v>99.505789473684189</c:v>
                </c:pt>
                <c:pt idx="22">
                  <c:v>96.038947368421077</c:v>
                </c:pt>
                <c:pt idx="23">
                  <c:v>92.856315789473669</c:v>
                </c:pt>
                <c:pt idx="24">
                  <c:v>126.33499999999998</c:v>
                </c:pt>
                <c:pt idx="25">
                  <c:v>134.9257894736842</c:v>
                </c:pt>
                <c:pt idx="26">
                  <c:v>138.05736842105264</c:v>
                </c:pt>
                <c:pt idx="27">
                  <c:v>198.27052631578945</c:v>
                </c:pt>
                <c:pt idx="28">
                  <c:v>223.628947368421</c:v>
                </c:pt>
                <c:pt idx="29">
                  <c:v>179.35777777777776</c:v>
                </c:pt>
                <c:pt idx="30">
                  <c:v>141.94888888888892</c:v>
                </c:pt>
                <c:pt idx="31">
                  <c:v>118.48611111111111</c:v>
                </c:pt>
                <c:pt idx="32">
                  <c:v>108.505</c:v>
                </c:pt>
                <c:pt idx="33">
                  <c:v>99.505789473684189</c:v>
                </c:pt>
                <c:pt idx="34">
                  <c:v>96.038947368421077</c:v>
                </c:pt>
                <c:pt idx="35">
                  <c:v>92.856315789473669</c:v>
                </c:pt>
                <c:pt idx="36">
                  <c:v>126.33499999999998</c:v>
                </c:pt>
                <c:pt idx="37">
                  <c:v>134.9257894736842</c:v>
                </c:pt>
                <c:pt idx="38">
                  <c:v>138.05736842105264</c:v>
                </c:pt>
                <c:pt idx="39">
                  <c:v>198.27052631578945</c:v>
                </c:pt>
                <c:pt idx="40">
                  <c:v>223.628947368421</c:v>
                </c:pt>
                <c:pt idx="41">
                  <c:v>179.35777777777776</c:v>
                </c:pt>
                <c:pt idx="42">
                  <c:v>141.94888888888892</c:v>
                </c:pt>
                <c:pt idx="43">
                  <c:v>118.48611111111111</c:v>
                </c:pt>
                <c:pt idx="44">
                  <c:v>108.505</c:v>
                </c:pt>
                <c:pt idx="45">
                  <c:v>99.505789473684189</c:v>
                </c:pt>
                <c:pt idx="46">
                  <c:v>96.038947368421077</c:v>
                </c:pt>
                <c:pt idx="47">
                  <c:v>92.856315789473669</c:v>
                </c:pt>
                <c:pt idx="48">
                  <c:v>126.33499999999998</c:v>
                </c:pt>
                <c:pt idx="49">
                  <c:v>134.9257894736842</c:v>
                </c:pt>
                <c:pt idx="50">
                  <c:v>138.05736842105264</c:v>
                </c:pt>
                <c:pt idx="51">
                  <c:v>198.27052631578945</c:v>
                </c:pt>
                <c:pt idx="52">
                  <c:v>223.628947368421</c:v>
                </c:pt>
                <c:pt idx="53">
                  <c:v>179.35777777777776</c:v>
                </c:pt>
                <c:pt idx="54">
                  <c:v>141.94888888888892</c:v>
                </c:pt>
                <c:pt idx="55">
                  <c:v>118.48611111111111</c:v>
                </c:pt>
                <c:pt idx="56">
                  <c:v>108.505</c:v>
                </c:pt>
                <c:pt idx="57">
                  <c:v>99.505789473684189</c:v>
                </c:pt>
                <c:pt idx="58">
                  <c:v>96.038947368421077</c:v>
                </c:pt>
                <c:pt idx="59">
                  <c:v>92.856315789473669</c:v>
                </c:pt>
                <c:pt idx="60">
                  <c:v>126.33499999999998</c:v>
                </c:pt>
                <c:pt idx="61">
                  <c:v>134.9257894736842</c:v>
                </c:pt>
                <c:pt idx="62">
                  <c:v>138.05736842105264</c:v>
                </c:pt>
                <c:pt idx="63">
                  <c:v>198.27052631578945</c:v>
                </c:pt>
                <c:pt idx="64">
                  <c:v>223.628947368421</c:v>
                </c:pt>
                <c:pt idx="65">
                  <c:v>179.35777777777776</c:v>
                </c:pt>
                <c:pt idx="66">
                  <c:v>141.94888888888892</c:v>
                </c:pt>
                <c:pt idx="67">
                  <c:v>118.48611111111111</c:v>
                </c:pt>
                <c:pt idx="68">
                  <c:v>108.505</c:v>
                </c:pt>
                <c:pt idx="69">
                  <c:v>99.505789473684189</c:v>
                </c:pt>
                <c:pt idx="70">
                  <c:v>96.038947368421077</c:v>
                </c:pt>
                <c:pt idx="71">
                  <c:v>92.856315789473669</c:v>
                </c:pt>
                <c:pt idx="72">
                  <c:v>126.33499999999998</c:v>
                </c:pt>
                <c:pt idx="73">
                  <c:v>134.9257894736842</c:v>
                </c:pt>
                <c:pt idx="74">
                  <c:v>138.05736842105264</c:v>
                </c:pt>
                <c:pt idx="75">
                  <c:v>198.27052631578945</c:v>
                </c:pt>
                <c:pt idx="76">
                  <c:v>223.628947368421</c:v>
                </c:pt>
                <c:pt idx="77">
                  <c:v>179.35777777777776</c:v>
                </c:pt>
                <c:pt idx="78">
                  <c:v>141.94888888888892</c:v>
                </c:pt>
                <c:pt idx="79">
                  <c:v>118.48611111111111</c:v>
                </c:pt>
                <c:pt idx="80">
                  <c:v>108.505</c:v>
                </c:pt>
                <c:pt idx="81">
                  <c:v>99.505789473684189</c:v>
                </c:pt>
                <c:pt idx="82">
                  <c:v>96.038947368421077</c:v>
                </c:pt>
                <c:pt idx="83">
                  <c:v>92.856315789473669</c:v>
                </c:pt>
                <c:pt idx="84">
                  <c:v>126.33499999999998</c:v>
                </c:pt>
                <c:pt idx="85">
                  <c:v>134.9257894736842</c:v>
                </c:pt>
                <c:pt idx="86">
                  <c:v>138.05736842105264</c:v>
                </c:pt>
                <c:pt idx="87">
                  <c:v>198.27052631578945</c:v>
                </c:pt>
                <c:pt idx="88">
                  <c:v>223.628947368421</c:v>
                </c:pt>
                <c:pt idx="89">
                  <c:v>179.35777777777776</c:v>
                </c:pt>
                <c:pt idx="90">
                  <c:v>141.94888888888892</c:v>
                </c:pt>
                <c:pt idx="91">
                  <c:v>118.48611111111111</c:v>
                </c:pt>
                <c:pt idx="92">
                  <c:v>108.505</c:v>
                </c:pt>
                <c:pt idx="93">
                  <c:v>99.505789473684189</c:v>
                </c:pt>
                <c:pt idx="94">
                  <c:v>96.038947368421077</c:v>
                </c:pt>
                <c:pt idx="95">
                  <c:v>92.856315789473669</c:v>
                </c:pt>
                <c:pt idx="96">
                  <c:v>126.33499999999998</c:v>
                </c:pt>
                <c:pt idx="97">
                  <c:v>134.9257894736842</c:v>
                </c:pt>
                <c:pt idx="98">
                  <c:v>138.05736842105264</c:v>
                </c:pt>
                <c:pt idx="99">
                  <c:v>198.27052631578945</c:v>
                </c:pt>
                <c:pt idx="100">
                  <c:v>223.628947368421</c:v>
                </c:pt>
                <c:pt idx="101">
                  <c:v>179.35777777777776</c:v>
                </c:pt>
                <c:pt idx="102">
                  <c:v>141.94888888888892</c:v>
                </c:pt>
                <c:pt idx="103">
                  <c:v>118.48611111111111</c:v>
                </c:pt>
                <c:pt idx="104">
                  <c:v>108.505</c:v>
                </c:pt>
                <c:pt idx="105">
                  <c:v>99.505789473684189</c:v>
                </c:pt>
                <c:pt idx="106">
                  <c:v>96.038947368421077</c:v>
                </c:pt>
                <c:pt idx="107">
                  <c:v>92.856315789473669</c:v>
                </c:pt>
                <c:pt idx="108">
                  <c:v>126.33499999999998</c:v>
                </c:pt>
                <c:pt idx="109">
                  <c:v>134.9257894736842</c:v>
                </c:pt>
                <c:pt idx="110">
                  <c:v>138.05736842105264</c:v>
                </c:pt>
                <c:pt idx="111">
                  <c:v>198.27052631578945</c:v>
                </c:pt>
                <c:pt idx="112">
                  <c:v>223.628947368421</c:v>
                </c:pt>
                <c:pt idx="113">
                  <c:v>179.35777777777776</c:v>
                </c:pt>
                <c:pt idx="114">
                  <c:v>141.94888888888892</c:v>
                </c:pt>
                <c:pt idx="115">
                  <c:v>118.48611111111111</c:v>
                </c:pt>
                <c:pt idx="116">
                  <c:v>108.505</c:v>
                </c:pt>
                <c:pt idx="117">
                  <c:v>99.505789473684189</c:v>
                </c:pt>
                <c:pt idx="118">
                  <c:v>96.038947368421077</c:v>
                </c:pt>
                <c:pt idx="119">
                  <c:v>92.856315789473669</c:v>
                </c:pt>
                <c:pt idx="120">
                  <c:v>126.33499999999998</c:v>
                </c:pt>
                <c:pt idx="121">
                  <c:v>134.9257894736842</c:v>
                </c:pt>
                <c:pt idx="122">
                  <c:v>138.05736842105264</c:v>
                </c:pt>
                <c:pt idx="123">
                  <c:v>198.27052631578945</c:v>
                </c:pt>
                <c:pt idx="124">
                  <c:v>223.628947368421</c:v>
                </c:pt>
                <c:pt idx="125">
                  <c:v>179.35777777777776</c:v>
                </c:pt>
                <c:pt idx="126">
                  <c:v>141.94888888888892</c:v>
                </c:pt>
                <c:pt idx="127">
                  <c:v>118.48611111111111</c:v>
                </c:pt>
                <c:pt idx="128">
                  <c:v>108.505</c:v>
                </c:pt>
                <c:pt idx="129">
                  <c:v>99.505789473684189</c:v>
                </c:pt>
                <c:pt idx="130">
                  <c:v>96.038947368421077</c:v>
                </c:pt>
                <c:pt idx="131">
                  <c:v>92.856315789473669</c:v>
                </c:pt>
                <c:pt idx="132">
                  <c:v>126.33499999999998</c:v>
                </c:pt>
                <c:pt idx="133">
                  <c:v>134.9257894736842</c:v>
                </c:pt>
                <c:pt idx="134">
                  <c:v>138.05736842105264</c:v>
                </c:pt>
                <c:pt idx="135">
                  <c:v>198.27052631578945</c:v>
                </c:pt>
                <c:pt idx="136">
                  <c:v>223.628947368421</c:v>
                </c:pt>
                <c:pt idx="137">
                  <c:v>179.35777777777776</c:v>
                </c:pt>
                <c:pt idx="138">
                  <c:v>141.94888888888892</c:v>
                </c:pt>
                <c:pt idx="139">
                  <c:v>118.48611111111111</c:v>
                </c:pt>
                <c:pt idx="140">
                  <c:v>108.505</c:v>
                </c:pt>
                <c:pt idx="141">
                  <c:v>99.505789473684189</c:v>
                </c:pt>
                <c:pt idx="142">
                  <c:v>96.038947368421077</c:v>
                </c:pt>
                <c:pt idx="143">
                  <c:v>92.856315789473669</c:v>
                </c:pt>
                <c:pt idx="144">
                  <c:v>126.33499999999998</c:v>
                </c:pt>
                <c:pt idx="145">
                  <c:v>134.9257894736842</c:v>
                </c:pt>
                <c:pt idx="146">
                  <c:v>138.05736842105264</c:v>
                </c:pt>
                <c:pt idx="147">
                  <c:v>198.27052631578945</c:v>
                </c:pt>
                <c:pt idx="148">
                  <c:v>223.628947368421</c:v>
                </c:pt>
                <c:pt idx="149">
                  <c:v>179.35777777777776</c:v>
                </c:pt>
                <c:pt idx="150">
                  <c:v>141.94888888888892</c:v>
                </c:pt>
                <c:pt idx="151">
                  <c:v>118.48611111111111</c:v>
                </c:pt>
                <c:pt idx="152">
                  <c:v>108.505</c:v>
                </c:pt>
                <c:pt idx="153">
                  <c:v>99.505789473684189</c:v>
                </c:pt>
                <c:pt idx="154">
                  <c:v>96.038947368421077</c:v>
                </c:pt>
                <c:pt idx="155">
                  <c:v>92.856315789473669</c:v>
                </c:pt>
                <c:pt idx="156">
                  <c:v>126.33499999999998</c:v>
                </c:pt>
                <c:pt idx="157">
                  <c:v>134.9257894736842</c:v>
                </c:pt>
                <c:pt idx="158">
                  <c:v>138.05736842105264</c:v>
                </c:pt>
                <c:pt idx="159">
                  <c:v>198.27052631578945</c:v>
                </c:pt>
                <c:pt idx="160">
                  <c:v>223.628947368421</c:v>
                </c:pt>
                <c:pt idx="161">
                  <c:v>179.35777777777776</c:v>
                </c:pt>
                <c:pt idx="162">
                  <c:v>141.94888888888892</c:v>
                </c:pt>
                <c:pt idx="163">
                  <c:v>118.48611111111111</c:v>
                </c:pt>
                <c:pt idx="164">
                  <c:v>108.505</c:v>
                </c:pt>
                <c:pt idx="165">
                  <c:v>99.505789473684189</c:v>
                </c:pt>
                <c:pt idx="166">
                  <c:v>96.038947368421077</c:v>
                </c:pt>
                <c:pt idx="167">
                  <c:v>92.856315789473669</c:v>
                </c:pt>
                <c:pt idx="168">
                  <c:v>126.33499999999998</c:v>
                </c:pt>
                <c:pt idx="169">
                  <c:v>134.9257894736842</c:v>
                </c:pt>
                <c:pt idx="170">
                  <c:v>138.05736842105264</c:v>
                </c:pt>
                <c:pt idx="171">
                  <c:v>198.27052631578945</c:v>
                </c:pt>
                <c:pt idx="172">
                  <c:v>223.628947368421</c:v>
                </c:pt>
                <c:pt idx="173">
                  <c:v>179.35777777777776</c:v>
                </c:pt>
                <c:pt idx="174">
                  <c:v>141.94888888888892</c:v>
                </c:pt>
                <c:pt idx="175">
                  <c:v>118.48611111111111</c:v>
                </c:pt>
                <c:pt idx="176">
                  <c:v>108.505</c:v>
                </c:pt>
                <c:pt idx="177">
                  <c:v>99.505789473684189</c:v>
                </c:pt>
                <c:pt idx="178">
                  <c:v>96.038947368421077</c:v>
                </c:pt>
                <c:pt idx="179">
                  <c:v>92.856315789473669</c:v>
                </c:pt>
                <c:pt idx="180">
                  <c:v>126.33499999999998</c:v>
                </c:pt>
                <c:pt idx="181">
                  <c:v>134.9257894736842</c:v>
                </c:pt>
                <c:pt idx="182">
                  <c:v>138.05736842105264</c:v>
                </c:pt>
                <c:pt idx="183">
                  <c:v>198.27052631578945</c:v>
                </c:pt>
                <c:pt idx="184">
                  <c:v>223.628947368421</c:v>
                </c:pt>
                <c:pt idx="185">
                  <c:v>179.35777777777776</c:v>
                </c:pt>
                <c:pt idx="186">
                  <c:v>141.94888888888892</c:v>
                </c:pt>
                <c:pt idx="187">
                  <c:v>118.48611111111111</c:v>
                </c:pt>
                <c:pt idx="188">
                  <c:v>108.505</c:v>
                </c:pt>
                <c:pt idx="189">
                  <c:v>99.505789473684189</c:v>
                </c:pt>
                <c:pt idx="190">
                  <c:v>96.038947368421077</c:v>
                </c:pt>
                <c:pt idx="191">
                  <c:v>92.856315789473669</c:v>
                </c:pt>
                <c:pt idx="192">
                  <c:v>126.33499999999998</c:v>
                </c:pt>
                <c:pt idx="193">
                  <c:v>134.9257894736842</c:v>
                </c:pt>
                <c:pt idx="194">
                  <c:v>138.05736842105264</c:v>
                </c:pt>
                <c:pt idx="195">
                  <c:v>198.27052631578945</c:v>
                </c:pt>
                <c:pt idx="196">
                  <c:v>223.628947368421</c:v>
                </c:pt>
                <c:pt idx="197">
                  <c:v>179.35777777777776</c:v>
                </c:pt>
                <c:pt idx="198">
                  <c:v>141.94888888888892</c:v>
                </c:pt>
                <c:pt idx="199">
                  <c:v>118.48611111111111</c:v>
                </c:pt>
                <c:pt idx="200">
                  <c:v>108.505</c:v>
                </c:pt>
                <c:pt idx="201">
                  <c:v>99.505789473684189</c:v>
                </c:pt>
                <c:pt idx="202">
                  <c:v>96.038947368421077</c:v>
                </c:pt>
                <c:pt idx="203">
                  <c:v>92.856315789473669</c:v>
                </c:pt>
                <c:pt idx="204">
                  <c:v>126.33499999999998</c:v>
                </c:pt>
                <c:pt idx="205">
                  <c:v>134.9257894736842</c:v>
                </c:pt>
                <c:pt idx="206">
                  <c:v>138.05736842105264</c:v>
                </c:pt>
                <c:pt idx="207">
                  <c:v>198.27052631578945</c:v>
                </c:pt>
                <c:pt idx="208">
                  <c:v>223.628947368421</c:v>
                </c:pt>
                <c:pt idx="209">
                  <c:v>179.35777777777776</c:v>
                </c:pt>
                <c:pt idx="210">
                  <c:v>141.94888888888892</c:v>
                </c:pt>
                <c:pt idx="211">
                  <c:v>118.48611111111111</c:v>
                </c:pt>
                <c:pt idx="212">
                  <c:v>108.505</c:v>
                </c:pt>
                <c:pt idx="213">
                  <c:v>99.505789473684189</c:v>
                </c:pt>
                <c:pt idx="214">
                  <c:v>96.038947368421077</c:v>
                </c:pt>
                <c:pt idx="215">
                  <c:v>92.856315789473669</c:v>
                </c:pt>
                <c:pt idx="216">
                  <c:v>126.33499999999998</c:v>
                </c:pt>
                <c:pt idx="217">
                  <c:v>134.9257894736842</c:v>
                </c:pt>
                <c:pt idx="218">
                  <c:v>138.05736842105264</c:v>
                </c:pt>
                <c:pt idx="219">
                  <c:v>198.27052631578945</c:v>
                </c:pt>
                <c:pt idx="220">
                  <c:v>223.628947368421</c:v>
                </c:pt>
                <c:pt idx="221">
                  <c:v>179.35777777777776</c:v>
                </c:pt>
                <c:pt idx="222">
                  <c:v>141.94888888888892</c:v>
                </c:pt>
                <c:pt idx="223">
                  <c:v>118.48611111111111</c:v>
                </c:pt>
                <c:pt idx="224">
                  <c:v>108.505</c:v>
                </c:pt>
                <c:pt idx="225">
                  <c:v>99.505789473684189</c:v>
                </c:pt>
                <c:pt idx="226">
                  <c:v>96.038947368421077</c:v>
                </c:pt>
                <c:pt idx="227">
                  <c:v>92.856315789473669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4-4D39-A8ED-CADC957B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022752"/>
        <c:axId val="69402242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'monthly flows'!$B$4:$B$235</c15:sqref>
                        </c15:formulaRef>
                      </c:ext>
                    </c:extLst>
                    <c:numCache>
                      <c:formatCode>mm/yyyy</c:formatCode>
                      <c:ptCount val="232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'monthly flows'!$W$4:$W$236</c15:sqref>
                        </c15:formulaRef>
                      </c:ext>
                    </c:extLst>
                    <c:numCache>
                      <c:formatCode>0.0000</c:formatCode>
                      <c:ptCount val="233"/>
                      <c:pt idx="0">
                        <c:v>127.03083333333336</c:v>
                      </c:pt>
                      <c:pt idx="1">
                        <c:v>129.33916666666667</c:v>
                      </c:pt>
                      <c:pt idx="2">
                        <c:v>131.62583333333333</c:v>
                      </c:pt>
                      <c:pt idx="3">
                        <c:v>134.20583333333335</c:v>
                      </c:pt>
                      <c:pt idx="4">
                        <c:v>130.49749999999997</c:v>
                      </c:pt>
                      <c:pt idx="5">
                        <c:v>116.19499999999998</c:v>
                      </c:pt>
                      <c:pt idx="6">
                        <c:v>111.19583333333334</c:v>
                      </c:pt>
                      <c:pt idx="7">
                        <c:v>104.37</c:v>
                      </c:pt>
                      <c:pt idx="8">
                        <c:v>103.11166666666666</c:v>
                      </c:pt>
                      <c:pt idx="9">
                        <c:v>103.37833333333332</c:v>
                      </c:pt>
                      <c:pt idx="10">
                        <c:v>104.245</c:v>
                      </c:pt>
                      <c:pt idx="11">
                        <c:v>104.31833333333334</c:v>
                      </c:pt>
                      <c:pt idx="12">
                        <c:v>104.28166666666668</c:v>
                      </c:pt>
                      <c:pt idx="13">
                        <c:v>104.38500000000001</c:v>
                      </c:pt>
                      <c:pt idx="14">
                        <c:v>103.93833333333335</c:v>
                      </c:pt>
                      <c:pt idx="15">
                        <c:v>109.75750000000001</c:v>
                      </c:pt>
                      <c:pt idx="16">
                        <c:v>112.33666666666666</c:v>
                      </c:pt>
                      <c:pt idx="17">
                        <c:v>110.02416666666666</c:v>
                      </c:pt>
                      <c:pt idx="18">
                        <c:v>108.42916666666666</c:v>
                      </c:pt>
                      <c:pt idx="19">
                        <c:v>106.94333333333333</c:v>
                      </c:pt>
                      <c:pt idx="20">
                        <c:v>105.18583333333333</c:v>
                      </c:pt>
                      <c:pt idx="21">
                        <c:v>103.83333333333331</c:v>
                      </c:pt>
                      <c:pt idx="22">
                        <c:v>102.47499999999998</c:v>
                      </c:pt>
                      <c:pt idx="23">
                        <c:v>102.40249999999999</c:v>
                      </c:pt>
                      <c:pt idx="24">
                        <c:v>103.395</c:v>
                      </c:pt>
                      <c:pt idx="25">
                        <c:v>114.71999999999998</c:v>
                      </c:pt>
                      <c:pt idx="26">
                        <c:v>139.90166666666664</c:v>
                      </c:pt>
                      <c:pt idx="27">
                        <c:v>161.32999999999998</c:v>
                      </c:pt>
                      <c:pt idx="28">
                        <c:v>168.41666666666666</c:v>
                      </c:pt>
                      <c:pt idx="29">
                        <c:v>179.85500000000002</c:v>
                      </c:pt>
                      <c:pt idx="30">
                        <c:v>182.69727272727272</c:v>
                      </c:pt>
                      <c:pt idx="31">
                        <c:v>189.46499999999997</c:v>
                      </c:pt>
                      <c:pt idx="32">
                        <c:v>200.27555555555554</c:v>
                      </c:pt>
                      <c:pt idx="33">
                        <c:v>214.60999999999999</c:v>
                      </c:pt>
                      <c:pt idx="34">
                        <c:v>217.48749999999998</c:v>
                      </c:pt>
                      <c:pt idx="35">
                        <c:v>219.36124999999998</c:v>
                      </c:pt>
                      <c:pt idx="36">
                        <c:v>218.09249999999997</c:v>
                      </c:pt>
                      <c:pt idx="37">
                        <c:v>199.56874999999999</c:v>
                      </c:pt>
                      <c:pt idx="38">
                        <c:v>160.43375</c:v>
                      </c:pt>
                      <c:pt idx="39">
                        <c:v>129.01249999999999</c:v>
                      </c:pt>
                      <c:pt idx="40">
                        <c:v>114.64</c:v>
                      </c:pt>
                      <c:pt idx="41">
                        <c:v>114.49625</c:v>
                      </c:pt>
                      <c:pt idx="42">
                        <c:v>124.78666666666666</c:v>
                      </c:pt>
                      <c:pt idx="43">
                        <c:v>124.771</c:v>
                      </c:pt>
                      <c:pt idx="44">
                        <c:v>121.53181818181817</c:v>
                      </c:pt>
                      <c:pt idx="45">
                        <c:v>118.56583333333333</c:v>
                      </c:pt>
                      <c:pt idx="46">
                        <c:v>117.35166666666667</c:v>
                      </c:pt>
                      <c:pt idx="47">
                        <c:v>116.72583333333331</c:v>
                      </c:pt>
                      <c:pt idx="48">
                        <c:v>116.51666666666667</c:v>
                      </c:pt>
                      <c:pt idx="49">
                        <c:v>118.30916666666667</c:v>
                      </c:pt>
                      <c:pt idx="50">
                        <c:v>126.05833333333334</c:v>
                      </c:pt>
                      <c:pt idx="51">
                        <c:v>127.53166666666665</c:v>
                      </c:pt>
                      <c:pt idx="52">
                        <c:v>131.52833333333334</c:v>
                      </c:pt>
                      <c:pt idx="53">
                        <c:v>122.83833333333331</c:v>
                      </c:pt>
                      <c:pt idx="54">
                        <c:v>122.41250000000001</c:v>
                      </c:pt>
                      <c:pt idx="55">
                        <c:v>124.42333333333333</c:v>
                      </c:pt>
                      <c:pt idx="56">
                        <c:v>126.21833333333335</c:v>
                      </c:pt>
                      <c:pt idx="57">
                        <c:v>127.56166666666665</c:v>
                      </c:pt>
                      <c:pt idx="58">
                        <c:v>128.63999999999999</c:v>
                      </c:pt>
                      <c:pt idx="59">
                        <c:v>130.36666666666667</c:v>
                      </c:pt>
                      <c:pt idx="60">
                        <c:v>125.22333333333334</c:v>
                      </c:pt>
                      <c:pt idx="61">
                        <c:v>123.00583333333333</c:v>
                      </c:pt>
                      <c:pt idx="62">
                        <c:v>120.84166666666668</c:v>
                      </c:pt>
                      <c:pt idx="63">
                        <c:v>116.03416666666665</c:v>
                      </c:pt>
                      <c:pt idx="64">
                        <c:v>128.26083333333335</c:v>
                      </c:pt>
                      <c:pt idx="65">
                        <c:v>134.11666666666667</c:v>
                      </c:pt>
                      <c:pt idx="66">
                        <c:v>135.57666666666668</c:v>
                      </c:pt>
                      <c:pt idx="67">
                        <c:v>139.59</c:v>
                      </c:pt>
                      <c:pt idx="68">
                        <c:v>146.15416666666667</c:v>
                      </c:pt>
                      <c:pt idx="69">
                        <c:v>151.50416666666669</c:v>
                      </c:pt>
                      <c:pt idx="70">
                        <c:v>155.13750000000002</c:v>
                      </c:pt>
                      <c:pt idx="71">
                        <c:v>155.5866666666667</c:v>
                      </c:pt>
                      <c:pt idx="72">
                        <c:v>160.25333333333336</c:v>
                      </c:pt>
                      <c:pt idx="73">
                        <c:v>163.56</c:v>
                      </c:pt>
                      <c:pt idx="74">
                        <c:v>166.67666666666668</c:v>
                      </c:pt>
                      <c:pt idx="75">
                        <c:v>170.53833333333333</c:v>
                      </c:pt>
                      <c:pt idx="76">
                        <c:v>161.12083333333331</c:v>
                      </c:pt>
                      <c:pt idx="77">
                        <c:v>157.56500000000003</c:v>
                      </c:pt>
                      <c:pt idx="78">
                        <c:v>153.87</c:v>
                      </c:pt>
                      <c:pt idx="79">
                        <c:v>150.05166666666665</c:v>
                      </c:pt>
                      <c:pt idx="80">
                        <c:v>144.30249999999998</c:v>
                      </c:pt>
                      <c:pt idx="81">
                        <c:v>139.3175</c:v>
                      </c:pt>
                      <c:pt idx="82">
                        <c:v>135.34583333333333</c:v>
                      </c:pt>
                      <c:pt idx="83">
                        <c:v>133.67499999999998</c:v>
                      </c:pt>
                      <c:pt idx="84">
                        <c:v>133.16833333333332</c:v>
                      </c:pt>
                      <c:pt idx="85">
                        <c:v>136.11666666666665</c:v>
                      </c:pt>
                      <c:pt idx="86">
                        <c:v>141.73166666666668</c:v>
                      </c:pt>
                      <c:pt idx="87">
                        <c:v>153.58666666666667</c:v>
                      </c:pt>
                      <c:pt idx="88">
                        <c:v>164.56916666666666</c:v>
                      </c:pt>
                      <c:pt idx="89">
                        <c:v>170.20833333333334</c:v>
                      </c:pt>
                      <c:pt idx="90">
                        <c:v>171.02666666666667</c:v>
                      </c:pt>
                      <c:pt idx="91">
                        <c:v>169.29333333333332</c:v>
                      </c:pt>
                      <c:pt idx="92">
                        <c:v>169.00916666666663</c:v>
                      </c:pt>
                      <c:pt idx="93">
                        <c:v>170.08666666666667</c:v>
                      </c:pt>
                      <c:pt idx="94">
                        <c:v>171.76333333333329</c:v>
                      </c:pt>
                      <c:pt idx="95">
                        <c:v>172.89416666666662</c:v>
                      </c:pt>
                      <c:pt idx="96">
                        <c:v>173.1925</c:v>
                      </c:pt>
                      <c:pt idx="97">
                        <c:v>175.25818181818178</c:v>
                      </c:pt>
                      <c:pt idx="98">
                        <c:v>176.32909090909089</c:v>
                      </c:pt>
                      <c:pt idx="99">
                        <c:v>161.15909090909091</c:v>
                      </c:pt>
                      <c:pt idx="100">
                        <c:v>165.45909090909092</c:v>
                      </c:pt>
                      <c:pt idx="101">
                        <c:v>173.08454545454549</c:v>
                      </c:pt>
                      <c:pt idx="102">
                        <c:v>178.83636363636364</c:v>
                      </c:pt>
                      <c:pt idx="103">
                        <c:v>183.77272727272728</c:v>
                      </c:pt>
                      <c:pt idx="104">
                        <c:v>186.52545454545452</c:v>
                      </c:pt>
                      <c:pt idx="105">
                        <c:v>186.97454545454545</c:v>
                      </c:pt>
                      <c:pt idx="106">
                        <c:v>186.65636363636358</c:v>
                      </c:pt>
                      <c:pt idx="107">
                        <c:v>186.00181818181818</c:v>
                      </c:pt>
                      <c:pt idx="108">
                        <c:v>186.22636363636363</c:v>
                      </c:pt>
                      <c:pt idx="109">
                        <c:v>179.76249999999996</c:v>
                      </c:pt>
                      <c:pt idx="110">
                        <c:v>170.81749999999997</c:v>
                      </c:pt>
                      <c:pt idx="111">
                        <c:v>171.13666666666668</c:v>
                      </c:pt>
                      <c:pt idx="112">
                        <c:v>149.02083333333334</c:v>
                      </c:pt>
                      <c:pt idx="113">
                        <c:v>127.74833333333333</c:v>
                      </c:pt>
                      <c:pt idx="114">
                        <c:v>121.46083333333331</c:v>
                      </c:pt>
                      <c:pt idx="115">
                        <c:v>120.07333333333334</c:v>
                      </c:pt>
                      <c:pt idx="116">
                        <c:v>119.28333333333335</c:v>
                      </c:pt>
                      <c:pt idx="117">
                        <c:v>119.87500000000001</c:v>
                      </c:pt>
                      <c:pt idx="118">
                        <c:v>122.82750000000003</c:v>
                      </c:pt>
                      <c:pt idx="119">
                        <c:v>126.55833333333335</c:v>
                      </c:pt>
                      <c:pt idx="120">
                        <c:v>129.58916666666667</c:v>
                      </c:pt>
                      <c:pt idx="121">
                        <c:v>143.54666666666671</c:v>
                      </c:pt>
                      <c:pt idx="122">
                        <c:v>152.09583333333333</c:v>
                      </c:pt>
                      <c:pt idx="123">
                        <c:v>152.01333333333335</c:v>
                      </c:pt>
                      <c:pt idx="124">
                        <c:v>171.22833333333332</c:v>
                      </c:pt>
                      <c:pt idx="125">
                        <c:v>181.39416666666662</c:v>
                      </c:pt>
                      <c:pt idx="126">
                        <c:v>182.36416666666665</c:v>
                      </c:pt>
                      <c:pt idx="127">
                        <c:v>179.76999999999998</c:v>
                      </c:pt>
                      <c:pt idx="128">
                        <c:v>179.02333333333334</c:v>
                      </c:pt>
                      <c:pt idx="129">
                        <c:v>177.82583333333332</c:v>
                      </c:pt>
                      <c:pt idx="130">
                        <c:v>174.51249999999996</c:v>
                      </c:pt>
                      <c:pt idx="131">
                        <c:v>171.39166666666665</c:v>
                      </c:pt>
                      <c:pt idx="132">
                        <c:v>168.60833333333332</c:v>
                      </c:pt>
                      <c:pt idx="133">
                        <c:v>155.49833333333331</c:v>
                      </c:pt>
                      <c:pt idx="134">
                        <c:v>148.98916666666665</c:v>
                      </c:pt>
                      <c:pt idx="135">
                        <c:v>153.495</c:v>
                      </c:pt>
                      <c:pt idx="136">
                        <c:v>141.75666666666666</c:v>
                      </c:pt>
                      <c:pt idx="137">
                        <c:v>140.03916666666666</c:v>
                      </c:pt>
                      <c:pt idx="138">
                        <c:v>137.45666666666668</c:v>
                      </c:pt>
                      <c:pt idx="139">
                        <c:v>137.00583333333333</c:v>
                      </c:pt>
                      <c:pt idx="140">
                        <c:v>136.45750000000001</c:v>
                      </c:pt>
                      <c:pt idx="141">
                        <c:v>136.38916666666668</c:v>
                      </c:pt>
                      <c:pt idx="142">
                        <c:v>135.95833333333334</c:v>
                      </c:pt>
                      <c:pt idx="143">
                        <c:v>134.72333333333333</c:v>
                      </c:pt>
                      <c:pt idx="144">
                        <c:v>134.34583333333333</c:v>
                      </c:pt>
                      <c:pt idx="145">
                        <c:v>134.46</c:v>
                      </c:pt>
                      <c:pt idx="146">
                        <c:v>133.26166666666668</c:v>
                      </c:pt>
                      <c:pt idx="147">
                        <c:v>129.34916666666666</c:v>
                      </c:pt>
                      <c:pt idx="148">
                        <c:v>127.40083333333332</c:v>
                      </c:pt>
                      <c:pt idx="149">
                        <c:v>132.32833333333332</c:v>
                      </c:pt>
                      <c:pt idx="150">
                        <c:v>136.03416666666666</c:v>
                      </c:pt>
                      <c:pt idx="151">
                        <c:v>138.1575</c:v>
                      </c:pt>
                      <c:pt idx="152">
                        <c:v>138.60499999999999</c:v>
                      </c:pt>
                      <c:pt idx="153">
                        <c:v>138.17000000000002</c:v>
                      </c:pt>
                      <c:pt idx="154">
                        <c:v>138.19499999999999</c:v>
                      </c:pt>
                      <c:pt idx="155">
                        <c:v>139.40416666666667</c:v>
                      </c:pt>
                      <c:pt idx="156">
                        <c:v>136.84416666666669</c:v>
                      </c:pt>
                      <c:pt idx="157">
                        <c:v>136.17583333333334</c:v>
                      </c:pt>
                      <c:pt idx="158">
                        <c:v>129.01333333333335</c:v>
                      </c:pt>
                      <c:pt idx="159">
                        <c:v>130.70500000000001</c:v>
                      </c:pt>
                      <c:pt idx="160">
                        <c:v>131.56833333333336</c:v>
                      </c:pt>
                      <c:pt idx="161">
                        <c:v>123.04916666666668</c:v>
                      </c:pt>
                      <c:pt idx="162">
                        <c:v>117.70166666666667</c:v>
                      </c:pt>
                      <c:pt idx="163">
                        <c:v>113.70416666666669</c:v>
                      </c:pt>
                      <c:pt idx="164">
                        <c:v>111.70916666666669</c:v>
                      </c:pt>
                      <c:pt idx="165">
                        <c:v>110.86666666666669</c:v>
                      </c:pt>
                      <c:pt idx="166">
                        <c:v>110.99166666666667</c:v>
                      </c:pt>
                      <c:pt idx="167">
                        <c:v>110.19500000000001</c:v>
                      </c:pt>
                      <c:pt idx="168">
                        <c:v>112.64166666666667</c:v>
                      </c:pt>
                      <c:pt idx="169">
                        <c:v>108.05333333333334</c:v>
                      </c:pt>
                      <c:pt idx="170">
                        <c:v>110.55666666666667</c:v>
                      </c:pt>
                      <c:pt idx="171">
                        <c:v>101.09249999999999</c:v>
                      </c:pt>
                      <c:pt idx="172">
                        <c:v>99.099166666666648</c:v>
                      </c:pt>
                      <c:pt idx="173">
                        <c:v>104.06499999999998</c:v>
                      </c:pt>
                      <c:pt idx="174">
                        <c:v>106.47583333333331</c:v>
                      </c:pt>
                      <c:pt idx="175">
                        <c:v>107.61166666666666</c:v>
                      </c:pt>
                      <c:pt idx="176">
                        <c:v>108.25416666666666</c:v>
                      </c:pt>
                      <c:pt idx="177">
                        <c:v>108.55250000000001</c:v>
                      </c:pt>
                      <c:pt idx="178">
                        <c:v>109.90583333333332</c:v>
                      </c:pt>
                      <c:pt idx="179">
                        <c:v>112.93583333333333</c:v>
                      </c:pt>
                      <c:pt idx="180">
                        <c:v>121.04416666666668</c:v>
                      </c:pt>
                      <c:pt idx="181">
                        <c:v>135.28</c:v>
                      </c:pt>
                      <c:pt idx="182">
                        <c:v>147.38750000000002</c:v>
                      </c:pt>
                      <c:pt idx="183">
                        <c:v>165.00583333333333</c:v>
                      </c:pt>
                      <c:pt idx="184">
                        <c:v>171.40916666666666</c:v>
                      </c:pt>
                      <c:pt idx="185">
                        <c:v>169.10083333333333</c:v>
                      </c:pt>
                      <c:pt idx="186">
                        <c:v>168.91750000000002</c:v>
                      </c:pt>
                      <c:pt idx="187">
                        <c:v>170.73166666666668</c:v>
                      </c:pt>
                      <c:pt idx="188">
                        <c:v>172.71583333333334</c:v>
                      </c:pt>
                      <c:pt idx="189">
                        <c:v>174.23666666666665</c:v>
                      </c:pt>
                      <c:pt idx="190">
                        <c:v>173.84083333333334</c:v>
                      </c:pt>
                      <c:pt idx="191">
                        <c:v>172.63833333333332</c:v>
                      </c:pt>
                      <c:pt idx="192">
                        <c:v>168.48666666666665</c:v>
                      </c:pt>
                      <c:pt idx="193">
                        <c:v>163.61249999999998</c:v>
                      </c:pt>
                      <c:pt idx="194">
                        <c:v>164.68416666666664</c:v>
                      </c:pt>
                      <c:pt idx="195">
                        <c:v>165.09916666666666</c:v>
                      </c:pt>
                      <c:pt idx="196">
                        <c:v>168.90416666666667</c:v>
                      </c:pt>
                      <c:pt idx="197">
                        <c:v>174.99750000000003</c:v>
                      </c:pt>
                      <c:pt idx="198">
                        <c:v>177.80416666666667</c:v>
                      </c:pt>
                      <c:pt idx="199">
                        <c:v>174.48416666666665</c:v>
                      </c:pt>
                      <c:pt idx="200">
                        <c:v>169.19749999999999</c:v>
                      </c:pt>
                      <c:pt idx="201">
                        <c:v>164.66249999999999</c:v>
                      </c:pt>
                      <c:pt idx="202">
                        <c:v>160.8175</c:v>
                      </c:pt>
                      <c:pt idx="203">
                        <c:v>157.20000000000002</c:v>
                      </c:pt>
                      <c:pt idx="204">
                        <c:v>152.88666666666666</c:v>
                      </c:pt>
                      <c:pt idx="205">
                        <c:v>145.68666666666664</c:v>
                      </c:pt>
                      <c:pt idx="206">
                        <c:v>132.64666666666665</c:v>
                      </c:pt>
                      <c:pt idx="207">
                        <c:v>120.99416666666666</c:v>
                      </c:pt>
                      <c:pt idx="208">
                        <c:v>105.58166666666665</c:v>
                      </c:pt>
                      <c:pt idx="209">
                        <c:v>91.12</c:v>
                      </c:pt>
                      <c:pt idx="210">
                        <c:v>82.228333333333339</c:v>
                      </c:pt>
                      <c:pt idx="211">
                        <c:v>80.421666666666667</c:v>
                      </c:pt>
                      <c:pt idx="212">
                        <c:v>81.590833333333336</c:v>
                      </c:pt>
                      <c:pt idx="213">
                        <c:v>83.44916666666667</c:v>
                      </c:pt>
                      <c:pt idx="214">
                        <c:v>85.277500000000003</c:v>
                      </c:pt>
                      <c:pt idx="215">
                        <c:v>85.782500000000013</c:v>
                      </c:pt>
                      <c:pt idx="216">
                        <c:v>85.204166666666666</c:v>
                      </c:pt>
                      <c:pt idx="217">
                        <c:v>85.399090909090916</c:v>
                      </c:pt>
                      <c:pt idx="218">
                        <c:v>86.806000000000012</c:v>
                      </c:pt>
                      <c:pt idx="219">
                        <c:v>85.576666666666682</c:v>
                      </c:pt>
                      <c:pt idx="220">
                        <c:v>84.827500000000015</c:v>
                      </c:pt>
                      <c:pt idx="221">
                        <c:v>83.591428571428565</c:v>
                      </c:pt>
                      <c:pt idx="222">
                        <c:v>82.943333333333328</c:v>
                      </c:pt>
                      <c:pt idx="223">
                        <c:v>82.971999999999994</c:v>
                      </c:pt>
                      <c:pt idx="224">
                        <c:v>82.252499999999998</c:v>
                      </c:pt>
                      <c:pt idx="225">
                        <c:v>79.469999999999985</c:v>
                      </c:pt>
                      <c:pt idx="226">
                        <c:v>75.539999999999992</c:v>
                      </c:pt>
                      <c:pt idx="227">
                        <c:v>73.36999999999999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BAD-45A8-ACB0-4B5465F28AC2}"/>
                  </c:ext>
                </c:extLst>
              </c15:ser>
            </c15:filteredLineSeries>
          </c:ext>
        </c:extLst>
      </c:lineChart>
      <c:dateAx>
        <c:axId val="694022752"/>
        <c:scaling>
          <c:orientation val="minMax"/>
        </c:scaling>
        <c:delete val="0"/>
        <c:axPos val="b"/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22424"/>
        <c:crosses val="autoZero"/>
        <c:auto val="1"/>
        <c:lblOffset val="100"/>
        <c:baseTimeUnit val="months"/>
      </c:dateAx>
      <c:valAx>
        <c:axId val="69402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2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10694689571823E-2"/>
          <c:y val="5.4616617888985662E-2"/>
          <c:w val="0.91151203835281147"/>
          <c:h val="0.80937211485901561"/>
        </c:manualLayout>
      </c:layout>
      <c:lineChart>
        <c:grouping val="standard"/>
        <c:varyColors val="0"/>
        <c:ser>
          <c:idx val="0"/>
          <c:order val="0"/>
          <c:tx>
            <c:strRef>
              <c:f>'Average flows'!$C$1</c:f>
              <c:strCache>
                <c:ptCount val="1"/>
                <c:pt idx="0">
                  <c:v>Zambezi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  <c:extLst xmlns:c15="http://schemas.microsoft.com/office/drawing/2012/chart"/>
            </c:strRef>
          </c:cat>
          <c:val>
            <c:numRef>
              <c:f>'Average flows'!$C$2:$C$13</c:f>
              <c:numCache>
                <c:formatCode>0</c:formatCode>
                <c:ptCount val="12"/>
                <c:pt idx="0">
                  <c:v>223.51666666666665</c:v>
                </c:pt>
                <c:pt idx="1">
                  <c:v>304.47999999999996</c:v>
                </c:pt>
                <c:pt idx="2">
                  <c:v>498.74666666666667</c:v>
                </c:pt>
                <c:pt idx="3">
                  <c:v>881.35666666666657</c:v>
                </c:pt>
                <c:pt idx="4">
                  <c:v>2310.4266666666667</c:v>
                </c:pt>
                <c:pt idx="5">
                  <c:v>3677.08</c:v>
                </c:pt>
                <c:pt idx="6">
                  <c:v>2982.34</c:v>
                </c:pt>
                <c:pt idx="7">
                  <c:v>1591.94</c:v>
                </c:pt>
                <c:pt idx="8">
                  <c:v>678.31500000000005</c:v>
                </c:pt>
                <c:pt idx="9">
                  <c:v>377.72</c:v>
                </c:pt>
                <c:pt idx="10">
                  <c:v>280.34333333333336</c:v>
                </c:pt>
                <c:pt idx="11">
                  <c:v>219.66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ED2-49C8-A72C-F5BB34CBE56B}"/>
            </c:ext>
          </c:extLst>
        </c:ser>
        <c:ser>
          <c:idx val="1"/>
          <c:order val="1"/>
          <c:tx>
            <c:strRef>
              <c:f>'Average flows'!$D$1</c:f>
              <c:strCache>
                <c:ptCount val="1"/>
                <c:pt idx="0">
                  <c:v>Kunene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'Average flows'!$D$2:$D$13</c:f>
              <c:numCache>
                <c:formatCode>0</c:formatCode>
                <c:ptCount val="12"/>
                <c:pt idx="0">
                  <c:v>74.816666666666677</c:v>
                </c:pt>
                <c:pt idx="1">
                  <c:v>135.54333333333332</c:v>
                </c:pt>
                <c:pt idx="2">
                  <c:v>282.20333333333332</c:v>
                </c:pt>
                <c:pt idx="3">
                  <c:v>563.65</c:v>
                </c:pt>
                <c:pt idx="4">
                  <c:v>550.74666666666667</c:v>
                </c:pt>
                <c:pt idx="5">
                  <c:v>561.3366666666667</c:v>
                </c:pt>
                <c:pt idx="6">
                  <c:v>315.71000000000004</c:v>
                </c:pt>
                <c:pt idx="7">
                  <c:v>170.125</c:v>
                </c:pt>
                <c:pt idx="8">
                  <c:v>140.42500000000001</c:v>
                </c:pt>
                <c:pt idx="9">
                  <c:v>115.815</c:v>
                </c:pt>
                <c:pt idx="10">
                  <c:v>88.833333333333329</c:v>
                </c:pt>
                <c:pt idx="11">
                  <c:v>56.18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D2-49C8-A72C-F5BB34CBE56B}"/>
            </c:ext>
          </c:extLst>
        </c:ser>
        <c:ser>
          <c:idx val="2"/>
          <c:order val="2"/>
          <c:tx>
            <c:strRef>
              <c:f>'Average flows'!$E$1</c:f>
              <c:strCache>
                <c:ptCount val="1"/>
                <c:pt idx="0">
                  <c:v>Orange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'Average flows'!$E$2:$E$13</c:f>
              <c:numCache>
                <c:formatCode>0</c:formatCode>
                <c:ptCount val="12"/>
                <c:pt idx="0">
                  <c:v>166.65</c:v>
                </c:pt>
                <c:pt idx="1">
                  <c:v>486.88333333333338</c:v>
                </c:pt>
                <c:pt idx="2">
                  <c:v>272.88333333333333</c:v>
                </c:pt>
                <c:pt idx="3">
                  <c:v>383.04333333333335</c:v>
                </c:pt>
                <c:pt idx="4">
                  <c:v>168.94333333333336</c:v>
                </c:pt>
                <c:pt idx="5">
                  <c:v>93.81</c:v>
                </c:pt>
                <c:pt idx="6">
                  <c:v>56.944999999999993</c:v>
                </c:pt>
                <c:pt idx="7">
                  <c:v>35.340000000000003</c:v>
                </c:pt>
                <c:pt idx="8">
                  <c:v>19.55</c:v>
                </c:pt>
                <c:pt idx="9">
                  <c:v>54.67</c:v>
                </c:pt>
                <c:pt idx="10">
                  <c:v>274.61333333333334</c:v>
                </c:pt>
                <c:pt idx="11">
                  <c:v>217.89333333333332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2-49C8-A72C-F5BB34CBE56B}"/>
            </c:ext>
          </c:extLst>
        </c:ser>
        <c:ser>
          <c:idx val="4"/>
          <c:order val="4"/>
          <c:tx>
            <c:strRef>
              <c:f>'Average flows'!$G$1</c:f>
              <c:strCache>
                <c:ptCount val="1"/>
                <c:pt idx="0">
                  <c:v>Okavango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'Average flows'!$G$2:$G$13</c:f>
              <c:numCache>
                <c:formatCode>0</c:formatCode>
                <c:ptCount val="12"/>
                <c:pt idx="0">
                  <c:v>34.146666666666668</c:v>
                </c:pt>
                <c:pt idx="1">
                  <c:v>80.256666666666661</c:v>
                </c:pt>
                <c:pt idx="2">
                  <c:v>237.80333333333337</c:v>
                </c:pt>
                <c:pt idx="3">
                  <c:v>412.08666666666664</c:v>
                </c:pt>
                <c:pt idx="4">
                  <c:v>434.34333333333342</c:v>
                </c:pt>
                <c:pt idx="5">
                  <c:v>406.36666666666662</c:v>
                </c:pt>
                <c:pt idx="6">
                  <c:v>244.495</c:v>
                </c:pt>
                <c:pt idx="7">
                  <c:v>130.65</c:v>
                </c:pt>
                <c:pt idx="8">
                  <c:v>94.224999999999994</c:v>
                </c:pt>
                <c:pt idx="9">
                  <c:v>74.349999999999994</c:v>
                </c:pt>
                <c:pt idx="10">
                  <c:v>57.669999999999995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D2-49C8-A72C-F5BB34CBE56B}"/>
            </c:ext>
          </c:extLst>
        </c:ser>
        <c:ser>
          <c:idx val="5"/>
          <c:order val="5"/>
          <c:tx>
            <c:strRef>
              <c:f>'Average flows'!$H$1</c:f>
              <c:strCache>
                <c:ptCount val="1"/>
                <c:pt idx="0">
                  <c:v>Cuito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'Average flows'!$H$2:$H$13</c:f>
              <c:numCache>
                <c:formatCode>0</c:formatCode>
                <c:ptCount val="12"/>
                <c:pt idx="0">
                  <c:v>96.038947368421077</c:v>
                </c:pt>
                <c:pt idx="1">
                  <c:v>92.856315789473669</c:v>
                </c:pt>
                <c:pt idx="2">
                  <c:v>126.33499999999998</c:v>
                </c:pt>
                <c:pt idx="3">
                  <c:v>134.9257894736842</c:v>
                </c:pt>
                <c:pt idx="4">
                  <c:v>138.05736842105264</c:v>
                </c:pt>
                <c:pt idx="5">
                  <c:v>198.27052631578945</c:v>
                </c:pt>
                <c:pt idx="6">
                  <c:v>223.628947368421</c:v>
                </c:pt>
                <c:pt idx="7">
                  <c:v>179.35777777777776</c:v>
                </c:pt>
                <c:pt idx="8">
                  <c:v>141.94888888888892</c:v>
                </c:pt>
                <c:pt idx="9">
                  <c:v>118.48611111111111</c:v>
                </c:pt>
                <c:pt idx="10">
                  <c:v>108.505</c:v>
                </c:pt>
                <c:pt idx="11">
                  <c:v>99.505789473684189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D2-49C8-A72C-F5BB34CBE56B}"/>
            </c:ext>
          </c:extLst>
        </c:ser>
        <c:ser>
          <c:idx val="6"/>
          <c:order val="6"/>
          <c:tx>
            <c:strRef>
              <c:f>'Average flows'!$I$1</c:f>
              <c:strCache>
                <c:ptCount val="1"/>
                <c:pt idx="0">
                  <c:v> Kwando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'Average flows'!$B$2:$B$13</c:f>
              <c:strCache>
                <c:ptCount val="12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'Average flows'!$I$2:$I$13</c:f>
              <c:numCache>
                <c:formatCode>0</c:formatCode>
                <c:ptCount val="12"/>
                <c:pt idx="0">
                  <c:v>31.170666666666669</c:v>
                </c:pt>
                <c:pt idx="1">
                  <c:v>29.229375000000001</c:v>
                </c:pt>
                <c:pt idx="2">
                  <c:v>30.8</c:v>
                </c:pt>
                <c:pt idx="3">
                  <c:v>33.1875</c:v>
                </c:pt>
                <c:pt idx="4">
                  <c:v>37.004666666666672</c:v>
                </c:pt>
                <c:pt idx="5">
                  <c:v>37.96</c:v>
                </c:pt>
                <c:pt idx="6">
                  <c:v>38.770000000000003</c:v>
                </c:pt>
                <c:pt idx="7">
                  <c:v>40.809285714285714</c:v>
                </c:pt>
                <c:pt idx="8">
                  <c:v>43.05</c:v>
                </c:pt>
                <c:pt idx="9">
                  <c:v>45.191428571428567</c:v>
                </c:pt>
                <c:pt idx="10">
                  <c:v>44.037692307692296</c:v>
                </c:pt>
                <c:pt idx="11">
                  <c:v>38.246428571428574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D2-49C8-A72C-F5BB34CB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270872"/>
        <c:axId val="67626332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'Average flows'!$F$1</c15:sqref>
                        </c15:formulaRef>
                      </c:ext>
                    </c:extLst>
                    <c:strCache>
                      <c:ptCount val="1"/>
                      <c:pt idx="0">
                        <c:v>Okavango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'Average flows'!$B$2:$B$13</c15:sqref>
                        </c15:formulaRef>
                      </c:ext>
                    </c:extLst>
                    <c:strCache>
                      <c:ptCount val="12"/>
                      <c:pt idx="0">
                        <c:v>November</c:v>
                      </c:pt>
                      <c:pt idx="1">
                        <c:v>December</c:v>
                      </c:pt>
                      <c:pt idx="2">
                        <c:v>January</c:v>
                      </c:pt>
                      <c:pt idx="3">
                        <c:v>February</c:v>
                      </c:pt>
                      <c:pt idx="4">
                        <c:v>March</c:v>
                      </c:pt>
                      <c:pt idx="5">
                        <c:v>April</c:v>
                      </c:pt>
                      <c:pt idx="6">
                        <c:v>May</c:v>
                      </c:pt>
                      <c:pt idx="7">
                        <c:v>June</c:v>
                      </c:pt>
                      <c:pt idx="8">
                        <c:v>July</c:v>
                      </c:pt>
                      <c:pt idx="9">
                        <c:v>August</c:v>
                      </c:pt>
                      <c:pt idx="10">
                        <c:v>September</c:v>
                      </c:pt>
                      <c:pt idx="11">
                        <c:v>October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'Average flows'!$F$2:$F$13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110.20333333333333</c:v>
                      </c:pt>
                      <c:pt idx="1">
                        <c:v>178.38333333333335</c:v>
                      </c:pt>
                      <c:pt idx="2">
                        <c:v>375.49</c:v>
                      </c:pt>
                      <c:pt idx="3">
                        <c:v>564.73</c:v>
                      </c:pt>
                      <c:pt idx="4">
                        <c:v>613.9</c:v>
                      </c:pt>
                      <c:pt idx="5">
                        <c:v>560.20666666666671</c:v>
                      </c:pt>
                      <c:pt idx="6">
                        <c:v>406.39</c:v>
                      </c:pt>
                      <c:pt idx="7">
                        <c:v>288.80999999999995</c:v>
                      </c:pt>
                      <c:pt idx="8">
                        <c:v>218.16</c:v>
                      </c:pt>
                      <c:pt idx="9">
                        <c:v>177.065</c:v>
                      </c:pt>
                      <c:pt idx="10">
                        <c:v>153.02333333333331</c:v>
                      </c:pt>
                      <c:pt idx="11">
                        <c:v>120.19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D2-49C8-A72C-F5BB34CBE56B}"/>
                  </c:ext>
                </c:extLst>
              </c15:ser>
            </c15:filteredLineSeries>
          </c:ext>
        </c:extLst>
      </c:lineChart>
      <c:catAx>
        <c:axId val="67627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3328"/>
        <c:crosses val="autoZero"/>
        <c:auto val="1"/>
        <c:lblAlgn val="ctr"/>
        <c:lblOffset val="100"/>
        <c:noMultiLvlLbl val="0"/>
      </c:catAx>
      <c:valAx>
        <c:axId val="676263328"/>
        <c:scaling>
          <c:orientation val="minMax"/>
          <c:max val="3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7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355293484184883E-2"/>
          <c:y val="0.890566733074725"/>
          <c:w val="0.96957604061837843"/>
          <c:h val="9.8736822630338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'Stats for rivers'!$N$2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'Stats for rivers'!$J$3:$J$8</c:f>
              <c:strCache>
                <c:ptCount val="6"/>
                <c:pt idx="0">
                  <c:v>Zambezi - Katima Mulilo</c:v>
                </c:pt>
                <c:pt idx="1">
                  <c:v>Kunene - Ruacana</c:v>
                </c:pt>
                <c:pt idx="2">
                  <c:v>Orange - Noordoewer</c:v>
                </c:pt>
                <c:pt idx="3">
                  <c:v>Okavango - Rundu</c:v>
                </c:pt>
                <c:pt idx="4">
                  <c:v>Cuito - Calculated  (Mukwe - Rundu)</c:v>
                </c:pt>
                <c:pt idx="5">
                  <c:v>Kwando - Kongola</c:v>
                </c:pt>
              </c:strCache>
            </c:strRef>
          </c:cat>
          <c:val>
            <c:numRef>
              <c:f>'Stats for rivers'!$N$3:$N$8</c:f>
              <c:numCache>
                <c:formatCode>General</c:formatCode>
                <c:ptCount val="6"/>
                <c:pt idx="0">
                  <c:v>5750</c:v>
                </c:pt>
                <c:pt idx="1">
                  <c:v>1434</c:v>
                </c:pt>
                <c:pt idx="2">
                  <c:v>1382</c:v>
                </c:pt>
                <c:pt idx="3">
                  <c:v>803</c:v>
                </c:pt>
                <c:pt idx="4" formatCode="0.000">
                  <c:v>381.7</c:v>
                </c:pt>
                <c:pt idx="5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C-4659-9163-5E4B880A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73508656"/>
        <c:axId val="87350767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'Stats for rivers'!$M$2</c15:sqref>
                        </c15:formulaRef>
                      </c:ext>
                    </c:extLst>
                    <c:strCache>
                      <c:ptCount val="1"/>
                      <c:pt idx="0">
                        <c:v>mean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'Stats for rivers'!$J$3:$J$8</c15:sqref>
                        </c15:formulaRef>
                      </c:ext>
                    </c:extLst>
                    <c:strCache>
                      <c:ptCount val="6"/>
                      <c:pt idx="0">
                        <c:v>Zambezi - Katima Mulilo</c:v>
                      </c:pt>
                      <c:pt idx="1">
                        <c:v>Kunene - Ruacana</c:v>
                      </c:pt>
                      <c:pt idx="2">
                        <c:v>Orange - Noordoewer</c:v>
                      </c:pt>
                      <c:pt idx="3">
                        <c:v>Okavango - Rundu</c:v>
                      </c:pt>
                      <c:pt idx="4">
                        <c:v>Cuito - Calculated  (Mukwe - Rundu)</c:v>
                      </c:pt>
                      <c:pt idx="5">
                        <c:v>Kwando - Kongola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'Stats for rivers'!$M$3:$M$8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1322.3508771929824</c:v>
                      </c:pt>
                      <c:pt idx="1">
                        <c:v>223.91739130434783</c:v>
                      </c:pt>
                      <c:pt idx="2">
                        <c:v>110.83185840707965</c:v>
                      </c:pt>
                      <c:pt idx="3">
                        <c:v>206.07929515418502</c:v>
                      </c:pt>
                      <c:pt idx="4" formatCode="0.000">
                        <c:v>140.60599118942739</c:v>
                      </c:pt>
                      <c:pt idx="5">
                        <c:v>37.168539325842694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22C-4659-9163-5E4B880AD6D0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rivers'!$K$2</c15:sqref>
                        </c15:formulaRef>
                      </c:ext>
                    </c:extLst>
                    <c:strCache>
                      <c:ptCount val="1"/>
                      <c:pt idx="0">
                        <c:v>mode</c:v>
                      </c:pt>
                    </c:strCache>
                  </c:strRef>
                </c:tx>
                <c:spPr>
                  <a:solidFill>
                    <a:schemeClr val="accent1">
                      <a:shade val="5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rivers'!$J$3:$J$8</c15:sqref>
                        </c15:formulaRef>
                      </c:ext>
                    </c:extLst>
                    <c:strCache>
                      <c:ptCount val="6"/>
                      <c:pt idx="0">
                        <c:v>Zambezi - Katima Mulilo</c:v>
                      </c:pt>
                      <c:pt idx="1">
                        <c:v>Kunene - Ruacana</c:v>
                      </c:pt>
                      <c:pt idx="2">
                        <c:v>Orange - Noordoewer</c:v>
                      </c:pt>
                      <c:pt idx="3">
                        <c:v>Okavango - Rundu</c:v>
                      </c:pt>
                      <c:pt idx="4">
                        <c:v>Cuito - Calculated  (Mukwe - Rundu)</c:v>
                      </c:pt>
                      <c:pt idx="5">
                        <c:v>Kwando - Kongola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rivers'!$K$3:$K$8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240</c:v>
                      </c:pt>
                      <c:pt idx="1">
                        <c:v>71</c:v>
                      </c:pt>
                      <c:pt idx="2">
                        <c:v>8</c:v>
                      </c:pt>
                      <c:pt idx="3">
                        <c:v>33</c:v>
                      </c:pt>
                      <c:pt idx="4">
                        <c:v>131.41000000000003</c:v>
                      </c:pt>
                      <c:pt idx="5">
                        <c:v>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22C-4659-9163-5E4B880AD6D0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rivers'!$O$2</c15:sqref>
                        </c15:formulaRef>
                      </c:ext>
                    </c:extLst>
                    <c:strCache>
                      <c:ptCount val="1"/>
                      <c:pt idx="0">
                        <c:v>min</c:v>
                      </c:pt>
                    </c:strCache>
                  </c:strRef>
                </c:tx>
                <c:spPr>
                  <a:solidFill>
                    <a:schemeClr val="accent1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rivers'!$J$3:$J$8</c15:sqref>
                        </c15:formulaRef>
                      </c:ext>
                    </c:extLst>
                    <c:strCache>
                      <c:ptCount val="6"/>
                      <c:pt idx="0">
                        <c:v>Zambezi - Katima Mulilo</c:v>
                      </c:pt>
                      <c:pt idx="1">
                        <c:v>Kunene - Ruacana</c:v>
                      </c:pt>
                      <c:pt idx="2">
                        <c:v>Orange - Noordoewer</c:v>
                      </c:pt>
                      <c:pt idx="3">
                        <c:v>Okavango - Rundu</c:v>
                      </c:pt>
                      <c:pt idx="4">
                        <c:v>Cuito - Calculated  (Mukwe - Rundu)</c:v>
                      </c:pt>
                      <c:pt idx="5">
                        <c:v>Kwando - Kongola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'Stats for rivers'!$O$3:$O$8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154</c:v>
                      </c:pt>
                      <c:pt idx="1">
                        <c:v>10</c:v>
                      </c:pt>
                      <c:pt idx="2">
                        <c:v>2</c:v>
                      </c:pt>
                      <c:pt idx="3">
                        <c:v>21</c:v>
                      </c:pt>
                      <c:pt idx="4" formatCode="0.000">
                        <c:v>16.329999999999984</c:v>
                      </c:pt>
                      <c:pt idx="5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C-4659-9163-5E4B880AD6D0}"/>
                  </c:ext>
                </c:extLst>
              </c15:ser>
            </c15:filteredBarSeries>
          </c:ext>
        </c:extLst>
      </c:barChart>
      <c:catAx>
        <c:axId val="8735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07672"/>
        <c:crosses val="autoZero"/>
        <c:auto val="1"/>
        <c:lblAlgn val="ctr"/>
        <c:lblOffset val="100"/>
        <c:noMultiLvlLbl val="0"/>
      </c:catAx>
      <c:valAx>
        <c:axId val="873507672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531767</xdr:colOff>
      <xdr:row>266</xdr:row>
      <xdr:rowOff>7422</xdr:rowOff>
    </xdr:from>
    <xdr:to>
      <xdr:col>24</xdr:col>
      <xdr:colOff>0</xdr:colOff>
      <xdr:row>294</xdr:row>
      <xdr:rowOff>21030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184BC-FA83-4D08-9A99-B72DDF1ED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1201141</xdr:colOff>
      <xdr:row>269</xdr:row>
      <xdr:rowOff>107619</xdr:rowOff>
    </xdr:from>
    <xdr:to>
      <xdr:col>22</xdr:col>
      <xdr:colOff>246973</xdr:colOff>
      <xdr:row>296</xdr:row>
      <xdr:rowOff>13170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9D0683-0DE7-48F7-BBF6-7B90E5AD9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511315</xdr:colOff>
      <xdr:row>256</xdr:row>
      <xdr:rowOff>24741</xdr:rowOff>
    </xdr:from>
    <xdr:to>
      <xdr:col>24</xdr:col>
      <xdr:colOff>0</xdr:colOff>
      <xdr:row>263</xdr:row>
      <xdr:rowOff>24740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6765A-E340-4362-87A2-A3CA7F3C4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599224</xdr:colOff>
      <xdr:row>249</xdr:row>
      <xdr:rowOff>34709</xdr:rowOff>
    </xdr:from>
    <xdr:to>
      <xdr:col>21</xdr:col>
      <xdr:colOff>257378</xdr:colOff>
      <xdr:row>269</xdr:row>
      <xdr:rowOff>22411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959119-76DC-4DC5-BE61-EE645D145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179293</xdr:colOff>
      <xdr:row>263</xdr:row>
      <xdr:rowOff>11207</xdr:rowOff>
    </xdr:from>
    <xdr:to>
      <xdr:col>11</xdr:col>
      <xdr:colOff>599448</xdr:colOff>
      <xdr:row>295</xdr:row>
      <xdr:rowOff>127268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64E385-BE54-4EDB-962D-EE93975D3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470648</xdr:colOff>
      <xdr:row>2</xdr:row>
      <xdr:rowOff>145676</xdr:rowOff>
    </xdr:from>
    <xdr:to>
      <xdr:col>41</xdr:col>
      <xdr:colOff>44825</xdr:colOff>
      <xdr:row>20</xdr:row>
      <xdr:rowOff>78441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981BA3-6989-4755-BB7A-7F340E49E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443631</xdr:colOff>
      <xdr:row>0</xdr:row>
      <xdr:rowOff>189345</xdr:rowOff>
    </xdr:from>
    <xdr:to>
      <xdr:col>21</xdr:col>
      <xdr:colOff>571500</xdr:colOff>
      <xdr:row>37</xdr:row>
      <xdr:rowOff>23091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423731-A854-4733-862F-88D3DB174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217261</xdr:colOff>
      <xdr:row>0</xdr:row>
      <xdr:rowOff>497338</xdr:rowOff>
    </xdr:from>
    <xdr:to>
      <xdr:col>19</xdr:col>
      <xdr:colOff>272145</xdr:colOff>
      <xdr:row>27</xdr:row>
      <xdr:rowOff>99786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DFAB70-79FA-4133-936F-9EE2CA15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3"/>
  <sheetViews>
    <sheetView zoomScale="85" zoomScaleNormal="85" workbookViewId="0">
      <pane ySplit="1" topLeftCell="A188" activePane="bottomLeft" state="frozen"/>
      <selection activeCell="B1" sqref="B1"/>
      <selection pane="bottomLeft" activeCell="W191" sqref="W191"/>
    </sheetView>
  </sheetViews>
  <sheetFormatPr defaultRowHeight="14.4" x14ac:dyDescent="0.3"/>
  <cols>
    <col min="1" max="1" width="9.09765625" style="8"/>
    <col min="2" max="2" width="10" style="5" customWidth="1"/>
    <col min="3" max="3" width="12.59765625" style="7" customWidth="1"/>
    <col min="4" max="4" width="13" style="7" customWidth="1"/>
    <col min="5" max="5" width="9" customWidth="1"/>
    <col min="6" max="6" width="13.09765625" style="7" customWidth="1"/>
    <col min="7" max="7" width="9.296875" style="7" customWidth="1"/>
    <col min="8" max="8" width="27.8984375" customWidth="1"/>
    <col min="9" max="9" width="20.59765625" style="7" customWidth="1"/>
    <col min="10" max="10" width="11.3984375" style="7" customWidth="1"/>
    <col min="11" max="11" width="13.59765625" customWidth="1"/>
    <col min="12" max="12" width="22.296875" style="7" customWidth="1"/>
    <col min="13" max="13" width="14" style="7" customWidth="1"/>
    <col min="14" max="14" width="14.796875" customWidth="1"/>
    <col min="15" max="15" width="20.59765625" style="7" customWidth="1"/>
    <col min="16" max="16" width="14.09765625" style="7" customWidth="1"/>
    <col min="17" max="17" width="15.8984375" customWidth="1"/>
    <col min="18" max="18" width="12.3984375" customWidth="1"/>
    <col min="19" max="19" width="11.8984375" style="8" customWidth="1"/>
    <col min="20" max="20" width="20.59765625" customWidth="1"/>
    <col min="21" max="21" width="11.3984375" customWidth="1"/>
    <col min="22" max="22" width="13.09765625" customWidth="1"/>
    <col min="23" max="23" width="14.3984375" customWidth="1"/>
  </cols>
  <sheetData>
    <row r="1" spans="1:23" ht="45.7" customHeight="1" x14ac:dyDescent="0.3">
      <c r="B1" s="2" t="s">
        <v>0</v>
      </c>
      <c r="C1" s="30" t="s">
        <v>8</v>
      </c>
      <c r="D1" s="30"/>
      <c r="E1" s="30"/>
      <c r="F1" s="30" t="s">
        <v>5</v>
      </c>
      <c r="G1" s="30"/>
      <c r="H1" s="30"/>
      <c r="I1" s="30" t="s">
        <v>6</v>
      </c>
      <c r="J1" s="30"/>
      <c r="K1" s="30"/>
      <c r="L1" s="30" t="s">
        <v>4</v>
      </c>
      <c r="M1" s="30"/>
      <c r="N1" s="30"/>
      <c r="O1" s="30" t="s">
        <v>7</v>
      </c>
      <c r="P1" s="30"/>
      <c r="Q1" s="30"/>
      <c r="R1" s="32" t="s">
        <v>13</v>
      </c>
      <c r="S1" s="32"/>
      <c r="T1" s="32"/>
      <c r="U1" t="s">
        <v>28</v>
      </c>
    </row>
    <row r="2" spans="1:23" x14ac:dyDescent="0.3">
      <c r="B2" s="3" t="s">
        <v>1</v>
      </c>
      <c r="C2" s="31" t="s">
        <v>9</v>
      </c>
      <c r="D2" s="31"/>
      <c r="E2" s="31"/>
      <c r="F2" s="31" t="s">
        <v>9</v>
      </c>
      <c r="G2" s="31"/>
      <c r="H2" s="31"/>
      <c r="I2" s="31" t="s">
        <v>9</v>
      </c>
      <c r="J2" s="31"/>
      <c r="K2" s="31"/>
      <c r="L2" s="31" t="s">
        <v>9</v>
      </c>
      <c r="M2" s="31"/>
      <c r="N2" s="31"/>
      <c r="O2" s="31" t="s">
        <v>9</v>
      </c>
      <c r="P2" s="31"/>
      <c r="Q2" s="31"/>
      <c r="R2" s="10" t="s">
        <v>11</v>
      </c>
      <c r="S2" s="10"/>
      <c r="T2" s="9"/>
    </row>
    <row r="3" spans="1:23" x14ac:dyDescent="0.3">
      <c r="A3" s="8" t="s">
        <v>52</v>
      </c>
      <c r="B3" s="3" t="s">
        <v>2</v>
      </c>
      <c r="C3" s="6" t="s">
        <v>3</v>
      </c>
      <c r="D3" s="6"/>
      <c r="E3" s="1" t="s">
        <v>10</v>
      </c>
      <c r="F3" s="6" t="s">
        <v>3</v>
      </c>
      <c r="G3" s="6" t="s">
        <v>14</v>
      </c>
      <c r="H3" s="1" t="s">
        <v>10</v>
      </c>
      <c r="I3" s="6" t="s">
        <v>3</v>
      </c>
      <c r="J3" s="6"/>
      <c r="K3" s="1" t="s">
        <v>10</v>
      </c>
      <c r="L3" s="6" t="s">
        <v>3</v>
      </c>
      <c r="M3" s="6"/>
      <c r="N3" s="1" t="s">
        <v>10</v>
      </c>
      <c r="O3" s="6" t="s">
        <v>3</v>
      </c>
      <c r="P3" s="6"/>
      <c r="Q3" s="1" t="s">
        <v>10</v>
      </c>
      <c r="R3" s="10" t="s">
        <v>3</v>
      </c>
      <c r="S3" s="10"/>
      <c r="T3" s="9" t="s">
        <v>12</v>
      </c>
      <c r="U3" t="s">
        <v>28</v>
      </c>
      <c r="V3" t="s">
        <v>50</v>
      </c>
      <c r="W3" t="s">
        <v>51</v>
      </c>
    </row>
    <row r="4" spans="1:23" x14ac:dyDescent="0.3">
      <c r="A4" s="8">
        <f>MONTH(B4)</f>
        <v>1</v>
      </c>
      <c r="B4" s="4">
        <v>36892</v>
      </c>
      <c r="C4" s="7">
        <v>73.62</v>
      </c>
      <c r="D4" s="11">
        <f>AVERAGEIF($A$4:$A$236,$A4,C$4:C$236)</f>
        <v>262.35600000000005</v>
      </c>
      <c r="E4">
        <v>2</v>
      </c>
      <c r="F4" s="7">
        <v>17.98</v>
      </c>
      <c r="G4" s="11">
        <f t="shared" ref="G4:G16" si="0">AVERAGEIF($A$4:$A$236,$A4,F$4:F$236)</f>
        <v>30.8</v>
      </c>
      <c r="H4">
        <v>104</v>
      </c>
      <c r="I4" s="7">
        <v>61.31</v>
      </c>
      <c r="J4" s="11">
        <f t="shared" ref="J4:J67" si="1">AVERAGEIF($A$4:$A$236,$A4,I$4:I$236)</f>
        <v>241.63399999999996</v>
      </c>
      <c r="K4">
        <v>1</v>
      </c>
      <c r="L4" s="7">
        <v>560.65</v>
      </c>
      <c r="M4" s="11">
        <f t="shared" ref="M4:M67" si="2">AVERAGEIF($A$4:$A$236,$A4,L$4:L$236)</f>
        <v>671.20894736842092</v>
      </c>
      <c r="N4">
        <v>2</v>
      </c>
      <c r="O4" s="7">
        <v>125.17</v>
      </c>
      <c r="P4" s="11">
        <f t="shared" ref="P4:P67" si="3">AVERAGEIF($A$4:$A$236,$A4,O$4:O$236)</f>
        <v>362.94894736842105</v>
      </c>
      <c r="Q4">
        <v>104</v>
      </c>
      <c r="R4" s="15">
        <v>260.54000000000002</v>
      </c>
      <c r="S4" s="11">
        <f t="shared" ref="S4:S67" si="4">AVERAGEIF($A$4:$A$236,$A4,R$4:R$236)</f>
        <v>90.957368421052621</v>
      </c>
      <c r="T4" s="8">
        <v>1</v>
      </c>
      <c r="U4" s="8">
        <f t="shared" ref="U4:U43" si="5">IF(AND(O4&gt;0,I4&gt;0),O4-I4,"")</f>
        <v>63.86</v>
      </c>
      <c r="V4" s="11">
        <f t="shared" ref="V4:V67" si="6">AVERAGEIF($A$4:$A$236,$A4,U$4:U$236)</f>
        <v>126.33499999999998</v>
      </c>
      <c r="W4" s="11">
        <f>AVERAGE(U4:U15)</f>
        <v>127.03083333333336</v>
      </c>
    </row>
    <row r="5" spans="1:23" x14ac:dyDescent="0.3">
      <c r="A5" s="8">
        <f t="shared" ref="A5:A68" si="7">MONTH(B5)</f>
        <v>2</v>
      </c>
      <c r="B5" s="4">
        <v>36923</v>
      </c>
      <c r="C5" s="7">
        <v>301.32</v>
      </c>
      <c r="D5" s="11">
        <f t="shared" ref="D5:D67" si="8">AVERAGEIF($A$4:$A$236,$A5,C$4:C$236)</f>
        <v>328.9663157894737</v>
      </c>
      <c r="E5">
        <v>2</v>
      </c>
      <c r="F5" s="7">
        <v>20.92</v>
      </c>
      <c r="G5" s="11">
        <f t="shared" si="0"/>
        <v>33.1875</v>
      </c>
      <c r="H5">
        <v>104</v>
      </c>
      <c r="I5" s="7">
        <v>194.1</v>
      </c>
      <c r="J5" s="11">
        <f t="shared" si="1"/>
        <v>334.30099999999993</v>
      </c>
      <c r="K5">
        <v>1</v>
      </c>
      <c r="L5" s="7">
        <v>1122.6500000000001</v>
      </c>
      <c r="M5" s="11">
        <f t="shared" si="2"/>
        <v>1650.3500000000001</v>
      </c>
      <c r="N5">
        <v>2</v>
      </c>
      <c r="O5" s="7">
        <v>222.15</v>
      </c>
      <c r="P5" s="11">
        <f t="shared" si="3"/>
        <v>463.72789473684207</v>
      </c>
      <c r="Q5">
        <v>104</v>
      </c>
      <c r="R5" s="15">
        <v>26.61</v>
      </c>
      <c r="S5" s="11">
        <f t="shared" si="4"/>
        <v>109.05882352941175</v>
      </c>
      <c r="T5" s="8">
        <v>1</v>
      </c>
      <c r="U5" s="8">
        <f t="shared" si="5"/>
        <v>28.050000000000011</v>
      </c>
      <c r="V5" s="11">
        <f t="shared" si="6"/>
        <v>134.9257894736842</v>
      </c>
      <c r="W5" s="11">
        <f t="shared" ref="W5:W68" si="9">AVERAGE(U5:U16)</f>
        <v>129.33916666666667</v>
      </c>
    </row>
    <row r="6" spans="1:23" x14ac:dyDescent="0.3">
      <c r="A6" s="8">
        <f t="shared" si="7"/>
        <v>3</v>
      </c>
      <c r="B6" s="4">
        <v>36951</v>
      </c>
      <c r="C6" s="7">
        <v>407.18</v>
      </c>
      <c r="D6" s="11">
        <f t="shared" si="8"/>
        <v>469.14</v>
      </c>
      <c r="E6">
        <v>2</v>
      </c>
      <c r="F6" s="7">
        <v>22.7</v>
      </c>
      <c r="G6" s="11">
        <f t="shared" si="0"/>
        <v>37.004666666666672</v>
      </c>
      <c r="H6">
        <v>105</v>
      </c>
      <c r="I6" s="7">
        <v>443.38</v>
      </c>
      <c r="J6" s="11">
        <f t="shared" si="1"/>
        <v>431.04200000000003</v>
      </c>
      <c r="K6">
        <v>1</v>
      </c>
      <c r="L6" s="7">
        <v>3651.4</v>
      </c>
      <c r="M6" s="11">
        <f t="shared" si="2"/>
        <v>3124.677368421053</v>
      </c>
      <c r="N6">
        <v>2</v>
      </c>
      <c r="O6" s="7">
        <v>459.71</v>
      </c>
      <c r="P6" s="11">
        <f t="shared" si="3"/>
        <v>565.95157894736838</v>
      </c>
      <c r="Q6">
        <v>104</v>
      </c>
      <c r="R6" s="15">
        <v>20.43</v>
      </c>
      <c r="S6" s="11">
        <f t="shared" si="4"/>
        <v>223.16157894736844</v>
      </c>
      <c r="T6" s="8">
        <v>1</v>
      </c>
      <c r="U6" s="8">
        <f t="shared" si="5"/>
        <v>16.329999999999984</v>
      </c>
      <c r="V6" s="11">
        <f t="shared" si="6"/>
        <v>138.05736842105264</v>
      </c>
      <c r="W6" s="11">
        <f t="shared" si="9"/>
        <v>131.62583333333333</v>
      </c>
    </row>
    <row r="7" spans="1:23" x14ac:dyDescent="0.3">
      <c r="A7" s="8">
        <f t="shared" si="7"/>
        <v>4</v>
      </c>
      <c r="B7" s="4">
        <v>36982</v>
      </c>
      <c r="C7" s="7">
        <v>897.77</v>
      </c>
      <c r="D7" s="11">
        <f t="shared" si="8"/>
        <v>589.29650000000015</v>
      </c>
      <c r="E7">
        <v>2</v>
      </c>
      <c r="F7" s="7">
        <v>25.97</v>
      </c>
      <c r="G7" s="11">
        <f t="shared" si="0"/>
        <v>37.96</v>
      </c>
      <c r="H7">
        <v>105</v>
      </c>
      <c r="I7" s="7">
        <v>586.9</v>
      </c>
      <c r="J7" s="11">
        <f t="shared" si="1"/>
        <v>483.73894736842101</v>
      </c>
      <c r="K7">
        <v>1</v>
      </c>
      <c r="L7" s="7">
        <v>4005.19</v>
      </c>
      <c r="M7" s="11">
        <f t="shared" si="2"/>
        <v>3744.6268421052641</v>
      </c>
      <c r="N7">
        <v>2</v>
      </c>
      <c r="O7" s="7">
        <v>736.26</v>
      </c>
      <c r="P7" s="11">
        <f t="shared" si="3"/>
        <v>682.00947368421055</v>
      </c>
      <c r="Q7">
        <v>104</v>
      </c>
      <c r="R7" s="15">
        <v>80.25</v>
      </c>
      <c r="S7" s="11">
        <f t="shared" si="4"/>
        <v>222.48684210526312</v>
      </c>
      <c r="T7" s="8">
        <v>1</v>
      </c>
      <c r="U7" s="8">
        <f t="shared" si="5"/>
        <v>149.36000000000001</v>
      </c>
      <c r="V7" s="11">
        <f t="shared" si="6"/>
        <v>198.27052631578945</v>
      </c>
      <c r="W7" s="11">
        <f t="shared" si="9"/>
        <v>134.20583333333335</v>
      </c>
    </row>
    <row r="8" spans="1:23" x14ac:dyDescent="0.3">
      <c r="A8" s="8">
        <f t="shared" si="7"/>
        <v>5</v>
      </c>
      <c r="B8" s="4">
        <v>37012</v>
      </c>
      <c r="C8" s="7">
        <v>510.48</v>
      </c>
      <c r="D8" s="11">
        <f t="shared" si="8"/>
        <v>310.70526315789482</v>
      </c>
      <c r="E8">
        <v>2</v>
      </c>
      <c r="F8" s="7">
        <v>29.19</v>
      </c>
      <c r="G8" s="11">
        <f t="shared" si="0"/>
        <v>38.770000000000003</v>
      </c>
      <c r="H8">
        <v>105</v>
      </c>
      <c r="I8" s="7">
        <v>451.12</v>
      </c>
      <c r="J8" s="11">
        <f t="shared" si="1"/>
        <v>306.97578947368419</v>
      </c>
      <c r="K8">
        <v>1</v>
      </c>
      <c r="L8" s="7">
        <v>3480.64</v>
      </c>
      <c r="M8" s="11">
        <f t="shared" si="2"/>
        <v>2961.8094736842104</v>
      </c>
      <c r="N8">
        <v>2</v>
      </c>
      <c r="O8" s="7">
        <v>798.52</v>
      </c>
      <c r="P8" s="11">
        <f t="shared" si="3"/>
        <v>530.60473684210535</v>
      </c>
      <c r="Q8">
        <v>104</v>
      </c>
      <c r="R8" s="15">
        <v>314.99</v>
      </c>
      <c r="S8" s="11">
        <f t="shared" si="4"/>
        <v>164.41473684210524</v>
      </c>
      <c r="T8" s="8">
        <v>1</v>
      </c>
      <c r="U8" s="8">
        <f t="shared" si="5"/>
        <v>347.4</v>
      </c>
      <c r="V8" s="11">
        <f t="shared" si="6"/>
        <v>223.628947368421</v>
      </c>
      <c r="W8" s="11">
        <f t="shared" si="9"/>
        <v>130.49749999999997</v>
      </c>
    </row>
    <row r="9" spans="1:23" x14ac:dyDescent="0.3">
      <c r="A9" s="8">
        <f t="shared" si="7"/>
        <v>6</v>
      </c>
      <c r="B9" s="4">
        <v>37043</v>
      </c>
      <c r="C9" s="7">
        <v>197.73</v>
      </c>
      <c r="D9" s="11">
        <f t="shared" si="8"/>
        <v>145.28526315789475</v>
      </c>
      <c r="E9">
        <v>2</v>
      </c>
      <c r="F9" s="7">
        <v>30.61</v>
      </c>
      <c r="G9" s="11">
        <f t="shared" si="0"/>
        <v>40.809285714285714</v>
      </c>
      <c r="H9">
        <v>105</v>
      </c>
      <c r="I9" s="7">
        <v>179.81</v>
      </c>
      <c r="J9" s="11">
        <f t="shared" si="1"/>
        <v>158.42111111111114</v>
      </c>
      <c r="K9">
        <v>1</v>
      </c>
      <c r="L9" s="7">
        <v>1623.84</v>
      </c>
      <c r="M9" s="11">
        <f t="shared" si="2"/>
        <v>1490.274210526316</v>
      </c>
      <c r="N9">
        <v>2</v>
      </c>
      <c r="O9" s="7">
        <v>407.53</v>
      </c>
      <c r="P9" s="11">
        <f t="shared" si="3"/>
        <v>340.09052631578948</v>
      </c>
      <c r="Q9">
        <v>104</v>
      </c>
      <c r="R9" s="15">
        <v>206.46</v>
      </c>
      <c r="S9" s="11">
        <f t="shared" si="4"/>
        <v>102.51894736842105</v>
      </c>
      <c r="T9" s="8">
        <v>1</v>
      </c>
      <c r="U9" s="8">
        <f t="shared" si="5"/>
        <v>227.71999999999997</v>
      </c>
      <c r="V9" s="11">
        <f t="shared" si="6"/>
        <v>179.35777777777776</v>
      </c>
      <c r="W9" s="11">
        <f t="shared" si="9"/>
        <v>116.19499999999998</v>
      </c>
    </row>
    <row r="10" spans="1:23" x14ac:dyDescent="0.3">
      <c r="A10" s="8">
        <f t="shared" si="7"/>
        <v>7</v>
      </c>
      <c r="B10" s="4">
        <v>37073</v>
      </c>
      <c r="C10" s="7">
        <v>140.96</v>
      </c>
      <c r="D10" s="11">
        <f t="shared" si="8"/>
        <v>111.3</v>
      </c>
      <c r="E10">
        <v>2</v>
      </c>
      <c r="F10" s="7">
        <v>36.01</v>
      </c>
      <c r="G10" s="11">
        <f t="shared" si="0"/>
        <v>43.05</v>
      </c>
      <c r="H10">
        <v>104</v>
      </c>
      <c r="I10" s="7">
        <v>74.569999999999993</v>
      </c>
      <c r="J10" s="11">
        <f t="shared" si="1"/>
        <v>111.83722222222222</v>
      </c>
      <c r="K10">
        <v>1</v>
      </c>
      <c r="L10" s="7">
        <v>719.32</v>
      </c>
      <c r="M10" s="11">
        <f t="shared" si="2"/>
        <v>693.74263157894745</v>
      </c>
      <c r="N10">
        <v>2</v>
      </c>
      <c r="O10" s="7">
        <v>289.33</v>
      </c>
      <c r="P10" s="11">
        <f t="shared" si="3"/>
        <v>256.32526315789482</v>
      </c>
      <c r="Q10">
        <v>104</v>
      </c>
      <c r="R10" s="15">
        <v>174.6</v>
      </c>
      <c r="S10" s="11">
        <f t="shared" si="4"/>
        <v>63.705789473684213</v>
      </c>
      <c r="T10" s="8">
        <v>1</v>
      </c>
      <c r="U10" s="8">
        <f t="shared" si="5"/>
        <v>214.76</v>
      </c>
      <c r="V10" s="11">
        <f t="shared" si="6"/>
        <v>141.94888888888892</v>
      </c>
      <c r="W10" s="11">
        <f t="shared" si="9"/>
        <v>111.19583333333334</v>
      </c>
    </row>
    <row r="11" spans="1:23" x14ac:dyDescent="0.3">
      <c r="A11" s="8">
        <f t="shared" si="7"/>
        <v>8</v>
      </c>
      <c r="B11" s="4">
        <v>37104</v>
      </c>
      <c r="C11" s="7">
        <v>111.9</v>
      </c>
      <c r="D11" s="11">
        <f t="shared" si="8"/>
        <v>92.337894736842102</v>
      </c>
      <c r="E11">
        <v>2</v>
      </c>
      <c r="F11" s="7">
        <v>48.54</v>
      </c>
      <c r="G11" s="11">
        <f t="shared" si="0"/>
        <v>45.191428571428567</v>
      </c>
      <c r="H11">
        <v>2</v>
      </c>
      <c r="I11" s="7">
        <v>83.96</v>
      </c>
      <c r="J11" s="11">
        <f t="shared" si="1"/>
        <v>89.390555555555537</v>
      </c>
      <c r="K11">
        <v>1</v>
      </c>
      <c r="L11" s="7">
        <v>414.31</v>
      </c>
      <c r="M11" s="11">
        <f t="shared" si="2"/>
        <v>417.0510526315789</v>
      </c>
      <c r="N11">
        <v>2</v>
      </c>
      <c r="O11" s="7">
        <v>212.32</v>
      </c>
      <c r="P11" s="11">
        <f t="shared" si="3"/>
        <v>208.76473684210529</v>
      </c>
      <c r="Q11">
        <v>104</v>
      </c>
      <c r="R11" s="15">
        <v>31.58</v>
      </c>
      <c r="S11" s="11">
        <f t="shared" si="4"/>
        <v>39.715789473684218</v>
      </c>
      <c r="T11" s="8">
        <v>1</v>
      </c>
      <c r="U11" s="8">
        <f t="shared" si="5"/>
        <v>128.36000000000001</v>
      </c>
      <c r="V11" s="11">
        <f t="shared" si="6"/>
        <v>118.48611111111111</v>
      </c>
      <c r="W11" s="11">
        <f t="shared" si="9"/>
        <v>104.37</v>
      </c>
    </row>
    <row r="12" spans="1:23" x14ac:dyDescent="0.3">
      <c r="A12" s="8">
        <f t="shared" si="7"/>
        <v>9</v>
      </c>
      <c r="B12" s="4">
        <v>37135</v>
      </c>
      <c r="C12" s="7">
        <v>90.49</v>
      </c>
      <c r="D12" s="11">
        <f t="shared" si="8"/>
        <v>72.209473684210522</v>
      </c>
      <c r="E12">
        <v>2</v>
      </c>
      <c r="F12" s="7">
        <v>45.64</v>
      </c>
      <c r="G12" s="11">
        <f t="shared" si="0"/>
        <v>44.037692307692296</v>
      </c>
      <c r="H12">
        <v>104</v>
      </c>
      <c r="I12" s="7">
        <v>71.739999999999995</v>
      </c>
      <c r="J12" s="11">
        <f t="shared" si="1"/>
        <v>64.317222222222213</v>
      </c>
      <c r="K12">
        <v>1</v>
      </c>
      <c r="L12" s="7">
        <v>296.56</v>
      </c>
      <c r="M12" s="11">
        <f t="shared" si="2"/>
        <v>300.97526315789474</v>
      </c>
      <c r="N12">
        <v>2</v>
      </c>
      <c r="O12" s="7">
        <v>170.37</v>
      </c>
      <c r="P12" s="11">
        <f t="shared" si="3"/>
        <v>173.37368421052631</v>
      </c>
      <c r="Q12">
        <v>104</v>
      </c>
      <c r="R12" s="15">
        <v>78.150000000000006</v>
      </c>
      <c r="S12" s="11">
        <f t="shared" si="4"/>
        <v>68.976315789473688</v>
      </c>
      <c r="T12" s="8">
        <v>1</v>
      </c>
      <c r="U12" s="8">
        <f t="shared" si="5"/>
        <v>98.63000000000001</v>
      </c>
      <c r="V12" s="11">
        <f t="shared" si="6"/>
        <v>108.505</v>
      </c>
      <c r="W12" s="11">
        <f t="shared" si="9"/>
        <v>103.11166666666666</v>
      </c>
    </row>
    <row r="13" spans="1:23" x14ac:dyDescent="0.3">
      <c r="A13" s="8">
        <f t="shared" si="7"/>
        <v>10</v>
      </c>
      <c r="B13" s="4">
        <v>37165</v>
      </c>
      <c r="C13" s="7">
        <v>71.44</v>
      </c>
      <c r="D13" s="11">
        <f t="shared" si="8"/>
        <v>53.688421052631583</v>
      </c>
      <c r="E13">
        <v>2</v>
      </c>
      <c r="F13" s="7">
        <v>40.369999999999997</v>
      </c>
      <c r="G13" s="11">
        <f t="shared" si="0"/>
        <v>38.246428571428574</v>
      </c>
      <c r="H13">
        <v>104</v>
      </c>
      <c r="I13" s="7">
        <v>52.44</v>
      </c>
      <c r="J13" s="11">
        <f t="shared" si="1"/>
        <v>43.578947368421062</v>
      </c>
      <c r="K13">
        <v>1</v>
      </c>
      <c r="L13" s="7">
        <v>226.3</v>
      </c>
      <c r="M13" s="11">
        <f t="shared" si="2"/>
        <v>237.62421052631578</v>
      </c>
      <c r="N13">
        <v>2</v>
      </c>
      <c r="O13" s="7">
        <v>132.13</v>
      </c>
      <c r="P13" s="11">
        <f t="shared" si="3"/>
        <v>143.08473684210523</v>
      </c>
      <c r="Q13">
        <v>104</v>
      </c>
      <c r="R13" s="15">
        <v>261.61</v>
      </c>
      <c r="S13" s="11">
        <f t="shared" si="4"/>
        <v>56.208947368421043</v>
      </c>
      <c r="T13" s="8">
        <v>1</v>
      </c>
      <c r="U13" s="8">
        <f t="shared" si="5"/>
        <v>79.69</v>
      </c>
      <c r="V13" s="11">
        <f t="shared" si="6"/>
        <v>99.505789473684189</v>
      </c>
      <c r="W13" s="11">
        <f t="shared" si="9"/>
        <v>103.37833333333332</v>
      </c>
    </row>
    <row r="14" spans="1:23" x14ac:dyDescent="0.3">
      <c r="A14" s="8">
        <f t="shared" si="7"/>
        <v>11</v>
      </c>
      <c r="B14" s="4">
        <v>37196</v>
      </c>
      <c r="C14" s="7">
        <v>63.27</v>
      </c>
      <c r="D14" s="11">
        <f t="shared" si="8"/>
        <v>65.729473684210518</v>
      </c>
      <c r="E14">
        <v>2</v>
      </c>
      <c r="F14" s="7">
        <v>40.17</v>
      </c>
      <c r="G14" s="11">
        <f t="shared" si="0"/>
        <v>31.170666666666669</v>
      </c>
      <c r="H14">
        <v>104</v>
      </c>
      <c r="I14" s="7">
        <v>39.51</v>
      </c>
      <c r="J14" s="11">
        <f t="shared" si="1"/>
        <v>42.795263157894738</v>
      </c>
      <c r="K14">
        <v>1</v>
      </c>
      <c r="L14" s="7">
        <v>240.36</v>
      </c>
      <c r="M14" s="11">
        <f t="shared" si="2"/>
        <v>234.77473684210523</v>
      </c>
      <c r="N14">
        <v>2</v>
      </c>
      <c r="O14" s="7">
        <v>115.27</v>
      </c>
      <c r="P14" s="11">
        <f t="shared" si="3"/>
        <v>138.83421052631579</v>
      </c>
      <c r="Q14">
        <v>104</v>
      </c>
      <c r="R14" s="15">
        <v>295.98</v>
      </c>
      <c r="S14" s="11">
        <f t="shared" si="4"/>
        <v>58.608421052631591</v>
      </c>
      <c r="T14" s="8">
        <v>1</v>
      </c>
      <c r="U14" s="8">
        <f t="shared" si="5"/>
        <v>75.759999999999991</v>
      </c>
      <c r="V14" s="11">
        <f t="shared" si="6"/>
        <v>96.038947368421077</v>
      </c>
      <c r="W14" s="11">
        <f t="shared" si="9"/>
        <v>104.245</v>
      </c>
    </row>
    <row r="15" spans="1:23" x14ac:dyDescent="0.3">
      <c r="A15" s="8">
        <f t="shared" si="7"/>
        <v>12</v>
      </c>
      <c r="B15" s="4">
        <v>37226</v>
      </c>
      <c r="C15" s="7">
        <v>85.36</v>
      </c>
      <c r="D15" s="11">
        <f t="shared" si="8"/>
        <v>164.87789473684211</v>
      </c>
      <c r="E15">
        <v>2</v>
      </c>
      <c r="F15" s="7">
        <v>36.950000000000003</v>
      </c>
      <c r="G15" s="11">
        <f t="shared" si="0"/>
        <v>29.229375000000001</v>
      </c>
      <c r="H15">
        <v>104</v>
      </c>
      <c r="I15" s="7">
        <v>68.459999999999994</v>
      </c>
      <c r="J15" s="11">
        <f t="shared" si="1"/>
        <v>123.60999999999999</v>
      </c>
      <c r="K15">
        <v>1</v>
      </c>
      <c r="L15" s="7">
        <v>368.08</v>
      </c>
      <c r="M15" s="11">
        <f t="shared" si="2"/>
        <v>340.84421052631575</v>
      </c>
      <c r="N15">
        <v>2</v>
      </c>
      <c r="O15" s="7">
        <v>162.91</v>
      </c>
      <c r="P15" s="11">
        <f t="shared" si="3"/>
        <v>216.46631578947367</v>
      </c>
      <c r="Q15">
        <v>104</v>
      </c>
      <c r="R15" s="15">
        <v>1381.95</v>
      </c>
      <c r="S15" s="11">
        <f t="shared" si="4"/>
        <v>129.68894736842105</v>
      </c>
      <c r="T15" s="8">
        <v>1</v>
      </c>
      <c r="U15" s="8">
        <f t="shared" si="5"/>
        <v>94.45</v>
      </c>
      <c r="V15" s="11">
        <f t="shared" si="6"/>
        <v>92.856315789473669</v>
      </c>
      <c r="W15" s="11">
        <f t="shared" si="9"/>
        <v>104.31833333333334</v>
      </c>
    </row>
    <row r="16" spans="1:23" x14ac:dyDescent="0.3">
      <c r="A16" s="8">
        <f t="shared" si="7"/>
        <v>1</v>
      </c>
      <c r="B16" s="4">
        <v>37257</v>
      </c>
      <c r="C16" s="7">
        <v>108.15</v>
      </c>
      <c r="D16" s="11">
        <f t="shared" si="8"/>
        <v>262.35600000000005</v>
      </c>
      <c r="E16">
        <v>2</v>
      </c>
      <c r="F16" s="7">
        <v>36.340000000000003</v>
      </c>
      <c r="G16" s="11">
        <f t="shared" si="0"/>
        <v>30.8</v>
      </c>
      <c r="H16">
        <v>104</v>
      </c>
      <c r="I16" s="7">
        <v>93.03</v>
      </c>
      <c r="J16" s="11">
        <f t="shared" si="1"/>
        <v>241.63399999999996</v>
      </c>
      <c r="K16">
        <v>1</v>
      </c>
      <c r="L16" s="7">
        <v>503.62</v>
      </c>
      <c r="M16" s="11">
        <f t="shared" si="2"/>
        <v>671.20894736842092</v>
      </c>
      <c r="N16">
        <v>2</v>
      </c>
      <c r="O16" s="7">
        <v>184.59</v>
      </c>
      <c r="P16" s="11">
        <f t="shared" si="3"/>
        <v>362.94894736842105</v>
      </c>
      <c r="Q16">
        <v>104</v>
      </c>
      <c r="R16" s="15">
        <v>766.78</v>
      </c>
      <c r="S16" s="11">
        <f t="shared" si="4"/>
        <v>90.957368421052621</v>
      </c>
      <c r="T16" s="8">
        <v>1</v>
      </c>
      <c r="U16" s="8">
        <f t="shared" si="5"/>
        <v>91.56</v>
      </c>
      <c r="V16" s="11">
        <f t="shared" si="6"/>
        <v>126.33499999999998</v>
      </c>
      <c r="W16" s="11">
        <f t="shared" si="9"/>
        <v>104.28166666666668</v>
      </c>
    </row>
    <row r="17" spans="1:23" x14ac:dyDescent="0.3">
      <c r="A17" s="8">
        <f t="shared" si="7"/>
        <v>2</v>
      </c>
      <c r="B17" s="4">
        <v>37288</v>
      </c>
      <c r="C17" s="7">
        <v>179.88</v>
      </c>
      <c r="D17" s="11">
        <f t="shared" si="8"/>
        <v>328.9663157894737</v>
      </c>
      <c r="E17">
        <v>2</v>
      </c>
      <c r="F17" s="7">
        <v>37.17</v>
      </c>
      <c r="G17" s="11">
        <f t="shared" ref="G17:G80" si="10">AVERAGEIF($A$4:$A$236,$A17,F$4:F$236)</f>
        <v>33.1875</v>
      </c>
      <c r="H17">
        <v>104</v>
      </c>
      <c r="I17" s="7">
        <v>207.41</v>
      </c>
      <c r="J17" s="11">
        <f t="shared" si="1"/>
        <v>334.30099999999993</v>
      </c>
      <c r="K17">
        <v>1</v>
      </c>
      <c r="L17" s="7">
        <v>711.11</v>
      </c>
      <c r="M17" s="11">
        <f t="shared" si="2"/>
        <v>1650.3500000000001</v>
      </c>
      <c r="N17">
        <v>2</v>
      </c>
      <c r="O17" s="7">
        <v>262.89999999999998</v>
      </c>
      <c r="P17" s="11">
        <f t="shared" si="3"/>
        <v>463.72789473684207</v>
      </c>
      <c r="Q17">
        <v>104</v>
      </c>
      <c r="R17" s="15">
        <v>1110.8399999999999</v>
      </c>
      <c r="S17" s="11">
        <f t="shared" si="4"/>
        <v>109.05882352941175</v>
      </c>
      <c r="T17" s="8">
        <v>1</v>
      </c>
      <c r="U17" s="8">
        <f t="shared" si="5"/>
        <v>55.489999999999981</v>
      </c>
      <c r="V17" s="11">
        <f t="shared" si="6"/>
        <v>134.9257894736842</v>
      </c>
      <c r="W17" s="11">
        <f t="shared" si="9"/>
        <v>104.38500000000001</v>
      </c>
    </row>
    <row r="18" spans="1:23" x14ac:dyDescent="0.3">
      <c r="A18" s="8">
        <f t="shared" si="7"/>
        <v>3</v>
      </c>
      <c r="B18" s="4">
        <v>37316</v>
      </c>
      <c r="C18" s="7">
        <v>451.26</v>
      </c>
      <c r="D18" s="11">
        <f t="shared" si="8"/>
        <v>469.14</v>
      </c>
      <c r="E18">
        <v>2</v>
      </c>
      <c r="F18" s="7">
        <v>35.22</v>
      </c>
      <c r="G18" s="11">
        <f t="shared" si="10"/>
        <v>37.004666666666672</v>
      </c>
      <c r="H18">
        <v>2</v>
      </c>
      <c r="I18" s="7">
        <v>358.01</v>
      </c>
      <c r="J18" s="11">
        <f t="shared" si="1"/>
        <v>431.04200000000003</v>
      </c>
      <c r="K18">
        <v>1</v>
      </c>
      <c r="L18" s="7">
        <v>1488.18</v>
      </c>
      <c r="M18" s="11">
        <f t="shared" si="2"/>
        <v>3124.677368421053</v>
      </c>
      <c r="N18">
        <v>2</v>
      </c>
      <c r="O18" s="7">
        <v>405.3</v>
      </c>
      <c r="P18" s="11">
        <f t="shared" si="3"/>
        <v>565.95157894736838</v>
      </c>
      <c r="Q18">
        <v>104</v>
      </c>
      <c r="R18" s="15">
        <v>469.43</v>
      </c>
      <c r="S18" s="11">
        <f t="shared" si="4"/>
        <v>223.16157894736844</v>
      </c>
      <c r="T18" s="8">
        <v>1</v>
      </c>
      <c r="U18" s="8">
        <f t="shared" si="5"/>
        <v>47.29000000000002</v>
      </c>
      <c r="V18" s="11">
        <f t="shared" si="6"/>
        <v>138.05736842105264</v>
      </c>
      <c r="W18" s="11">
        <f t="shared" si="9"/>
        <v>103.93833333333335</v>
      </c>
    </row>
    <row r="19" spans="1:23" x14ac:dyDescent="0.3">
      <c r="A19" s="8">
        <f t="shared" si="7"/>
        <v>4</v>
      </c>
      <c r="B19" s="4">
        <v>37347</v>
      </c>
      <c r="C19" s="7">
        <v>852.61</v>
      </c>
      <c r="D19" s="11">
        <f t="shared" si="8"/>
        <v>589.29650000000015</v>
      </c>
      <c r="E19">
        <v>2</v>
      </c>
      <c r="F19" s="7">
        <v>32.14</v>
      </c>
      <c r="G19" s="11">
        <f t="shared" si="10"/>
        <v>37.96</v>
      </c>
      <c r="H19">
        <v>2</v>
      </c>
      <c r="I19" s="7">
        <v>435.6</v>
      </c>
      <c r="J19" s="11">
        <f t="shared" si="1"/>
        <v>483.73894736842101</v>
      </c>
      <c r="K19">
        <v>1</v>
      </c>
      <c r="L19" s="7">
        <v>2026.89</v>
      </c>
      <c r="M19" s="11">
        <f t="shared" si="2"/>
        <v>3744.6268421052641</v>
      </c>
      <c r="N19">
        <v>2</v>
      </c>
      <c r="O19" s="7">
        <v>540.46</v>
      </c>
      <c r="P19" s="11">
        <f t="shared" si="3"/>
        <v>682.00947368421055</v>
      </c>
      <c r="Q19">
        <v>104</v>
      </c>
      <c r="R19" s="15">
        <v>187.24</v>
      </c>
      <c r="S19" s="11">
        <f t="shared" si="4"/>
        <v>222.48684210526312</v>
      </c>
      <c r="T19" s="8">
        <v>1</v>
      </c>
      <c r="U19" s="8">
        <f t="shared" si="5"/>
        <v>104.86000000000001</v>
      </c>
      <c r="V19" s="11">
        <f t="shared" si="6"/>
        <v>198.27052631578945</v>
      </c>
      <c r="W19" s="11">
        <f t="shared" si="9"/>
        <v>109.75750000000001</v>
      </c>
    </row>
    <row r="20" spans="1:23" x14ac:dyDescent="0.3">
      <c r="A20" s="8">
        <f t="shared" si="7"/>
        <v>5</v>
      </c>
      <c r="B20" s="4">
        <v>37377</v>
      </c>
      <c r="C20" s="7">
        <v>326.05</v>
      </c>
      <c r="D20" s="11">
        <f t="shared" si="8"/>
        <v>310.70526315789482</v>
      </c>
      <c r="E20">
        <v>2</v>
      </c>
      <c r="F20" s="7">
        <v>29.69</v>
      </c>
      <c r="G20" s="11">
        <f t="shared" si="10"/>
        <v>38.770000000000003</v>
      </c>
      <c r="H20">
        <v>2</v>
      </c>
      <c r="I20" s="7">
        <v>272.58</v>
      </c>
      <c r="J20" s="11">
        <f t="shared" si="1"/>
        <v>306.97578947368419</v>
      </c>
      <c r="K20">
        <v>1</v>
      </c>
      <c r="L20" s="7">
        <v>2153.85</v>
      </c>
      <c r="M20" s="11">
        <f t="shared" si="2"/>
        <v>2961.8094736842104</v>
      </c>
      <c r="N20">
        <v>2</v>
      </c>
      <c r="O20" s="7">
        <v>448.35</v>
      </c>
      <c r="P20" s="11">
        <f t="shared" si="3"/>
        <v>530.60473684210535</v>
      </c>
      <c r="Q20">
        <v>104</v>
      </c>
      <c r="R20" s="15">
        <v>96.74</v>
      </c>
      <c r="S20" s="11">
        <f t="shared" si="4"/>
        <v>164.41473684210524</v>
      </c>
      <c r="T20" s="8">
        <v>1</v>
      </c>
      <c r="U20" s="8">
        <f t="shared" si="5"/>
        <v>175.77000000000004</v>
      </c>
      <c r="V20" s="11">
        <f t="shared" si="6"/>
        <v>223.628947368421</v>
      </c>
      <c r="W20" s="11">
        <f t="shared" si="9"/>
        <v>112.33666666666666</v>
      </c>
    </row>
    <row r="21" spans="1:23" x14ac:dyDescent="0.3">
      <c r="A21" s="8">
        <f t="shared" si="7"/>
        <v>6</v>
      </c>
      <c r="B21" s="4">
        <v>37408</v>
      </c>
      <c r="C21" s="7">
        <v>159.09</v>
      </c>
      <c r="D21" s="11">
        <f t="shared" si="8"/>
        <v>145.28526315789475</v>
      </c>
      <c r="E21">
        <v>2</v>
      </c>
      <c r="F21" s="7">
        <v>27.19</v>
      </c>
      <c r="G21" s="11">
        <f t="shared" si="10"/>
        <v>40.809285714285714</v>
      </c>
      <c r="H21">
        <v>2</v>
      </c>
      <c r="I21" s="7">
        <v>145.55000000000001</v>
      </c>
      <c r="J21" s="11">
        <f t="shared" si="1"/>
        <v>158.42111111111114</v>
      </c>
      <c r="K21">
        <v>1</v>
      </c>
      <c r="L21" s="7">
        <v>1382.54</v>
      </c>
      <c r="M21" s="11">
        <f t="shared" si="2"/>
        <v>1490.274210526316</v>
      </c>
      <c r="N21">
        <v>2</v>
      </c>
      <c r="O21" s="7">
        <v>313.27999999999997</v>
      </c>
      <c r="P21" s="11">
        <f t="shared" si="3"/>
        <v>340.09052631578948</v>
      </c>
      <c r="Q21">
        <v>104</v>
      </c>
      <c r="R21" s="15">
        <v>58.09</v>
      </c>
      <c r="S21" s="11">
        <f t="shared" si="4"/>
        <v>102.51894736842105</v>
      </c>
      <c r="T21" s="8">
        <v>1</v>
      </c>
      <c r="U21" s="8">
        <f t="shared" si="5"/>
        <v>167.72999999999996</v>
      </c>
      <c r="V21" s="11">
        <f t="shared" si="6"/>
        <v>179.35777777777776</v>
      </c>
      <c r="W21" s="11">
        <f t="shared" si="9"/>
        <v>110.02416666666666</v>
      </c>
    </row>
    <row r="22" spans="1:23" x14ac:dyDescent="0.3">
      <c r="A22" s="8">
        <f t="shared" si="7"/>
        <v>7</v>
      </c>
      <c r="B22" s="4">
        <v>37438</v>
      </c>
      <c r="C22" s="7">
        <v>116.61</v>
      </c>
      <c r="D22" s="11">
        <f t="shared" si="8"/>
        <v>111.3</v>
      </c>
      <c r="E22">
        <v>2</v>
      </c>
      <c r="F22" s="7">
        <v>25.73</v>
      </c>
      <c r="G22" s="11">
        <f t="shared" si="10"/>
        <v>43.05</v>
      </c>
      <c r="H22">
        <v>104</v>
      </c>
      <c r="I22" s="7">
        <v>103.15</v>
      </c>
      <c r="J22" s="11">
        <f t="shared" si="1"/>
        <v>111.83722222222222</v>
      </c>
      <c r="K22">
        <v>1</v>
      </c>
      <c r="L22" s="7">
        <v>592.9</v>
      </c>
      <c r="M22" s="11">
        <f t="shared" si="2"/>
        <v>693.74263157894745</v>
      </c>
      <c r="N22">
        <v>2</v>
      </c>
      <c r="O22" s="7">
        <v>236</v>
      </c>
      <c r="P22" s="11">
        <f t="shared" si="3"/>
        <v>256.32526315789482</v>
      </c>
      <c r="Q22">
        <v>104</v>
      </c>
      <c r="R22" s="15">
        <v>26.82</v>
      </c>
      <c r="S22" s="11">
        <f t="shared" si="4"/>
        <v>63.705789473684213</v>
      </c>
      <c r="T22" s="8">
        <v>1</v>
      </c>
      <c r="U22" s="8">
        <f t="shared" si="5"/>
        <v>132.85</v>
      </c>
      <c r="V22" s="11">
        <f t="shared" si="6"/>
        <v>141.94888888888892</v>
      </c>
      <c r="W22" s="11">
        <f t="shared" si="9"/>
        <v>108.42916666666666</v>
      </c>
    </row>
    <row r="23" spans="1:23" x14ac:dyDescent="0.3">
      <c r="A23" s="8">
        <f t="shared" si="7"/>
        <v>8</v>
      </c>
      <c r="B23" s="4">
        <v>37469</v>
      </c>
      <c r="C23" s="7">
        <v>87.66</v>
      </c>
      <c r="D23" s="11">
        <f t="shared" si="8"/>
        <v>92.337894736842102</v>
      </c>
      <c r="E23">
        <v>2</v>
      </c>
      <c r="F23" s="7">
        <v>24.75</v>
      </c>
      <c r="G23" s="11">
        <f t="shared" si="10"/>
        <v>45.191428571428567</v>
      </c>
      <c r="H23">
        <v>104</v>
      </c>
      <c r="I23" s="7">
        <v>79.17</v>
      </c>
      <c r="J23" s="11">
        <f t="shared" si="1"/>
        <v>89.390555555555537</v>
      </c>
      <c r="K23">
        <v>1</v>
      </c>
      <c r="L23" s="7">
        <v>346.38</v>
      </c>
      <c r="M23" s="11">
        <f t="shared" si="2"/>
        <v>417.0510526315789</v>
      </c>
      <c r="N23">
        <v>2</v>
      </c>
      <c r="O23" s="7">
        <v>192.43</v>
      </c>
      <c r="P23" s="11">
        <f t="shared" si="3"/>
        <v>208.76473684210529</v>
      </c>
      <c r="Q23">
        <v>104</v>
      </c>
      <c r="R23" s="15">
        <v>91.68</v>
      </c>
      <c r="S23" s="11">
        <f t="shared" si="4"/>
        <v>39.715789473684218</v>
      </c>
      <c r="T23" s="8">
        <v>1</v>
      </c>
      <c r="U23" s="8">
        <f t="shared" si="5"/>
        <v>113.26</v>
      </c>
      <c r="V23" s="11">
        <f t="shared" si="6"/>
        <v>118.48611111111111</v>
      </c>
      <c r="W23" s="11">
        <f t="shared" si="9"/>
        <v>106.94333333333333</v>
      </c>
    </row>
    <row r="24" spans="1:23" x14ac:dyDescent="0.3">
      <c r="A24" s="8">
        <f t="shared" si="7"/>
        <v>9</v>
      </c>
      <c r="B24" s="4">
        <v>37500</v>
      </c>
      <c r="C24" s="7">
        <v>70.959999999999994</v>
      </c>
      <c r="D24" s="11">
        <f t="shared" si="8"/>
        <v>72.209473684210522</v>
      </c>
      <c r="E24">
        <v>2</v>
      </c>
      <c r="F24" s="7">
        <v>23.23</v>
      </c>
      <c r="G24" s="11">
        <f t="shared" si="10"/>
        <v>44.037692307692296</v>
      </c>
      <c r="H24">
        <v>105</v>
      </c>
      <c r="I24" s="7">
        <v>53.95</v>
      </c>
      <c r="J24" s="11">
        <f t="shared" si="1"/>
        <v>64.317222222222213</v>
      </c>
      <c r="K24">
        <v>1</v>
      </c>
      <c r="L24" s="7">
        <v>256.36</v>
      </c>
      <c r="M24" s="11">
        <f t="shared" si="2"/>
        <v>300.97526315789474</v>
      </c>
      <c r="N24">
        <v>2</v>
      </c>
      <c r="O24" s="7">
        <v>155.78</v>
      </c>
      <c r="P24" s="11">
        <f t="shared" si="3"/>
        <v>173.37368421052631</v>
      </c>
      <c r="Q24">
        <v>104</v>
      </c>
      <c r="R24" s="15">
        <v>726.86</v>
      </c>
      <c r="S24" s="11">
        <f t="shared" si="4"/>
        <v>68.976315789473688</v>
      </c>
      <c r="T24" s="8">
        <v>1</v>
      </c>
      <c r="U24" s="8">
        <f t="shared" si="5"/>
        <v>101.83</v>
      </c>
      <c r="V24" s="11">
        <f t="shared" si="6"/>
        <v>108.505</v>
      </c>
      <c r="W24" s="11">
        <f t="shared" si="9"/>
        <v>105.18583333333333</v>
      </c>
    </row>
    <row r="25" spans="1:23" x14ac:dyDescent="0.3">
      <c r="A25" s="8">
        <f t="shared" si="7"/>
        <v>10</v>
      </c>
      <c r="B25" s="4">
        <v>37530</v>
      </c>
      <c r="C25" s="7">
        <v>58.84</v>
      </c>
      <c r="D25" s="11">
        <f t="shared" si="8"/>
        <v>53.688421052631583</v>
      </c>
      <c r="E25">
        <v>2</v>
      </c>
      <c r="F25" s="7">
        <v>21.83</v>
      </c>
      <c r="G25" s="11">
        <f t="shared" si="10"/>
        <v>38.246428571428574</v>
      </c>
      <c r="H25">
        <v>105</v>
      </c>
      <c r="I25" s="7">
        <v>35.270000000000003</v>
      </c>
      <c r="J25" s="11">
        <f t="shared" si="1"/>
        <v>43.578947368421062</v>
      </c>
      <c r="K25">
        <v>1</v>
      </c>
      <c r="L25" s="7">
        <v>216.23</v>
      </c>
      <c r="M25" s="11">
        <f t="shared" si="2"/>
        <v>237.62421052631578</v>
      </c>
      <c r="N25">
        <v>2</v>
      </c>
      <c r="O25" s="7">
        <v>125.36</v>
      </c>
      <c r="P25" s="11">
        <f t="shared" si="3"/>
        <v>143.08473684210523</v>
      </c>
      <c r="Q25">
        <v>104</v>
      </c>
      <c r="R25" s="15">
        <v>373.42</v>
      </c>
      <c r="S25" s="11">
        <f t="shared" si="4"/>
        <v>56.208947368421043</v>
      </c>
      <c r="T25" s="8">
        <v>1</v>
      </c>
      <c r="U25" s="8">
        <f t="shared" si="5"/>
        <v>90.09</v>
      </c>
      <c r="V25" s="11">
        <f t="shared" si="6"/>
        <v>99.505789473684189</v>
      </c>
      <c r="W25" s="11">
        <f t="shared" si="9"/>
        <v>103.83333333333331</v>
      </c>
    </row>
    <row r="26" spans="1:23" x14ac:dyDescent="0.3">
      <c r="A26" s="8">
        <f t="shared" si="7"/>
        <v>11</v>
      </c>
      <c r="B26" s="4">
        <v>37561</v>
      </c>
      <c r="C26" s="7">
        <v>74.12</v>
      </c>
      <c r="D26" s="11">
        <f t="shared" si="8"/>
        <v>65.729473684210518</v>
      </c>
      <c r="E26">
        <v>2</v>
      </c>
      <c r="F26" s="7">
        <v>20.3</v>
      </c>
      <c r="G26" s="11">
        <f t="shared" si="10"/>
        <v>31.170666666666669</v>
      </c>
      <c r="H26">
        <v>105</v>
      </c>
      <c r="I26" s="7">
        <v>33.01</v>
      </c>
      <c r="J26" s="11">
        <f t="shared" si="1"/>
        <v>42.795263157894738</v>
      </c>
      <c r="K26">
        <v>1</v>
      </c>
      <c r="L26" s="7">
        <v>217.93</v>
      </c>
      <c r="M26" s="11">
        <f t="shared" si="2"/>
        <v>234.77473684210523</v>
      </c>
      <c r="N26">
        <v>2</v>
      </c>
      <c r="O26" s="7">
        <v>109.65</v>
      </c>
      <c r="P26" s="11">
        <f t="shared" si="3"/>
        <v>138.83421052631579</v>
      </c>
      <c r="Q26">
        <v>104</v>
      </c>
      <c r="R26" s="15">
        <v>184.88</v>
      </c>
      <c r="S26" s="11">
        <f t="shared" si="4"/>
        <v>58.608421052631591</v>
      </c>
      <c r="T26" s="8">
        <v>1</v>
      </c>
      <c r="U26" s="8">
        <f t="shared" si="5"/>
        <v>76.640000000000015</v>
      </c>
      <c r="V26" s="11">
        <f t="shared" si="6"/>
        <v>96.038947368421077</v>
      </c>
      <c r="W26" s="11">
        <f t="shared" si="9"/>
        <v>102.47499999999998</v>
      </c>
    </row>
    <row r="27" spans="1:23" x14ac:dyDescent="0.3">
      <c r="A27" s="8">
        <f t="shared" si="7"/>
        <v>12</v>
      </c>
      <c r="B27" s="4">
        <v>37591</v>
      </c>
      <c r="C27" s="7">
        <v>132.74</v>
      </c>
      <c r="D27" s="11">
        <f t="shared" si="8"/>
        <v>164.87789473684211</v>
      </c>
      <c r="E27">
        <v>2</v>
      </c>
      <c r="F27" s="7">
        <v>19.809999999999999</v>
      </c>
      <c r="G27" s="11">
        <f t="shared" si="10"/>
        <v>29.229375000000001</v>
      </c>
      <c r="H27">
        <v>105</v>
      </c>
      <c r="I27" s="7">
        <v>62.8</v>
      </c>
      <c r="J27" s="11">
        <f t="shared" si="1"/>
        <v>123.60999999999999</v>
      </c>
      <c r="K27">
        <v>1</v>
      </c>
      <c r="L27" s="7">
        <v>264.76</v>
      </c>
      <c r="M27" s="11">
        <f t="shared" si="2"/>
        <v>340.84421052631575</v>
      </c>
      <c r="N27">
        <v>2</v>
      </c>
      <c r="O27" s="7">
        <v>156.81</v>
      </c>
      <c r="P27" s="11">
        <f t="shared" si="3"/>
        <v>216.46631578947367</v>
      </c>
      <c r="Q27">
        <v>104</v>
      </c>
      <c r="R27" s="15">
        <v>56.64</v>
      </c>
      <c r="S27" s="11">
        <f t="shared" si="4"/>
        <v>129.68894736842105</v>
      </c>
      <c r="T27" s="8">
        <v>1</v>
      </c>
      <c r="U27" s="8">
        <f t="shared" si="5"/>
        <v>94.01</v>
      </c>
      <c r="V27" s="11">
        <f t="shared" si="6"/>
        <v>92.856315789473669</v>
      </c>
      <c r="W27" s="11">
        <f t="shared" si="9"/>
        <v>102.40249999999999</v>
      </c>
    </row>
    <row r="28" spans="1:23" x14ac:dyDescent="0.3">
      <c r="A28" s="8">
        <f t="shared" si="7"/>
        <v>1</v>
      </c>
      <c r="B28" s="4">
        <v>37622</v>
      </c>
      <c r="C28" s="7">
        <v>158.97999999999999</v>
      </c>
      <c r="D28" s="11">
        <f t="shared" si="8"/>
        <v>262.35600000000005</v>
      </c>
      <c r="E28">
        <v>2</v>
      </c>
      <c r="F28" s="7">
        <v>20.95</v>
      </c>
      <c r="G28" s="11">
        <f t="shared" si="10"/>
        <v>30.8</v>
      </c>
      <c r="H28">
        <v>105</v>
      </c>
      <c r="I28" s="7">
        <v>120.28</v>
      </c>
      <c r="J28" s="11">
        <f t="shared" si="1"/>
        <v>241.63399999999996</v>
      </c>
      <c r="K28">
        <v>104</v>
      </c>
      <c r="L28" s="7">
        <v>491.64</v>
      </c>
      <c r="M28" s="11">
        <f t="shared" si="2"/>
        <v>671.20894736842092</v>
      </c>
      <c r="N28">
        <v>2</v>
      </c>
      <c r="O28" s="7">
        <v>213.08</v>
      </c>
      <c r="P28" s="11">
        <f t="shared" si="3"/>
        <v>362.94894736842105</v>
      </c>
      <c r="Q28">
        <v>2</v>
      </c>
      <c r="R28" s="15">
        <v>33.22</v>
      </c>
      <c r="S28" s="11">
        <f t="shared" si="4"/>
        <v>90.957368421052621</v>
      </c>
      <c r="T28" s="8">
        <v>1</v>
      </c>
      <c r="U28" s="8">
        <f t="shared" si="5"/>
        <v>92.800000000000011</v>
      </c>
      <c r="V28" s="11">
        <f t="shared" si="6"/>
        <v>126.33499999999998</v>
      </c>
      <c r="W28" s="11">
        <f t="shared" si="9"/>
        <v>103.395</v>
      </c>
    </row>
    <row r="29" spans="1:23" x14ac:dyDescent="0.3">
      <c r="A29" s="8">
        <f t="shared" si="7"/>
        <v>2</v>
      </c>
      <c r="B29" s="4">
        <v>37653</v>
      </c>
      <c r="C29" s="7">
        <v>438.98</v>
      </c>
      <c r="D29" s="11">
        <f t="shared" si="8"/>
        <v>328.9663157894737</v>
      </c>
      <c r="E29">
        <v>2</v>
      </c>
      <c r="F29" s="7">
        <v>23.17</v>
      </c>
      <c r="G29" s="11">
        <f t="shared" si="10"/>
        <v>33.1875</v>
      </c>
      <c r="H29">
        <v>104</v>
      </c>
      <c r="I29" s="7">
        <v>316.85000000000002</v>
      </c>
      <c r="J29" s="11">
        <f t="shared" si="1"/>
        <v>334.30099999999993</v>
      </c>
      <c r="K29">
        <v>104</v>
      </c>
      <c r="L29" s="7">
        <v>909.72</v>
      </c>
      <c r="M29" s="11">
        <f t="shared" si="2"/>
        <v>1650.3500000000001</v>
      </c>
      <c r="N29">
        <v>2</v>
      </c>
      <c r="O29" s="7">
        <v>366.98</v>
      </c>
      <c r="P29" s="11">
        <f t="shared" si="3"/>
        <v>463.72789473684207</v>
      </c>
      <c r="Q29">
        <v>2</v>
      </c>
      <c r="R29" s="15">
        <v>19.89</v>
      </c>
      <c r="S29" s="11">
        <f t="shared" si="4"/>
        <v>109.05882352941175</v>
      </c>
      <c r="T29" s="8">
        <v>1</v>
      </c>
      <c r="U29" s="8">
        <f t="shared" si="5"/>
        <v>50.129999999999995</v>
      </c>
      <c r="V29" s="11">
        <f t="shared" si="6"/>
        <v>134.9257894736842</v>
      </c>
      <c r="W29" s="11">
        <f t="shared" si="9"/>
        <v>114.71999999999998</v>
      </c>
    </row>
    <row r="30" spans="1:23" x14ac:dyDescent="0.3">
      <c r="A30" s="8">
        <f t="shared" si="7"/>
        <v>3</v>
      </c>
      <c r="B30" s="4">
        <v>37681</v>
      </c>
      <c r="C30" s="7">
        <v>549.44000000000005</v>
      </c>
      <c r="D30" s="11">
        <f t="shared" si="8"/>
        <v>469.14</v>
      </c>
      <c r="E30">
        <v>2</v>
      </c>
      <c r="F30" s="7">
        <v>21.49</v>
      </c>
      <c r="G30" s="11">
        <f t="shared" si="10"/>
        <v>37.004666666666672</v>
      </c>
      <c r="H30">
        <v>105</v>
      </c>
      <c r="I30" s="7">
        <v>392.68</v>
      </c>
      <c r="J30" s="11">
        <f t="shared" si="1"/>
        <v>431.04200000000003</v>
      </c>
      <c r="K30">
        <v>1</v>
      </c>
      <c r="L30" s="7">
        <v>1859.16</v>
      </c>
      <c r="M30" s="11">
        <f t="shared" si="2"/>
        <v>3124.677368421053</v>
      </c>
      <c r="N30">
        <v>2</v>
      </c>
      <c r="O30" s="7">
        <v>509.8</v>
      </c>
      <c r="P30" s="11">
        <f t="shared" si="3"/>
        <v>565.95157894736838</v>
      </c>
      <c r="Q30">
        <v>1</v>
      </c>
      <c r="R30" s="15">
        <v>20.87</v>
      </c>
      <c r="S30" s="11">
        <f t="shared" si="4"/>
        <v>223.16157894736844</v>
      </c>
      <c r="T30" s="8">
        <v>1</v>
      </c>
      <c r="U30" s="8">
        <f t="shared" si="5"/>
        <v>117.12</v>
      </c>
      <c r="V30" s="11">
        <f t="shared" si="6"/>
        <v>138.05736842105264</v>
      </c>
      <c r="W30" s="11">
        <f t="shared" si="9"/>
        <v>139.90166666666664</v>
      </c>
    </row>
    <row r="31" spans="1:23" x14ac:dyDescent="0.3">
      <c r="A31" s="8">
        <f t="shared" si="7"/>
        <v>4</v>
      </c>
      <c r="B31" s="4">
        <v>37712</v>
      </c>
      <c r="C31" s="7">
        <v>377.73</v>
      </c>
      <c r="D31" s="11">
        <f t="shared" si="8"/>
        <v>589.29650000000015</v>
      </c>
      <c r="E31">
        <v>2</v>
      </c>
      <c r="F31" s="7">
        <v>21.44</v>
      </c>
      <c r="G31" s="11">
        <f t="shared" si="10"/>
        <v>37.96</v>
      </c>
      <c r="H31">
        <v>105</v>
      </c>
      <c r="I31" s="7">
        <v>266.12</v>
      </c>
      <c r="J31" s="11">
        <f t="shared" si="1"/>
        <v>483.73894736842101</v>
      </c>
      <c r="K31">
        <v>1</v>
      </c>
      <c r="L31" s="7">
        <v>3749.43</v>
      </c>
      <c r="M31" s="11">
        <f t="shared" si="2"/>
        <v>3744.6268421052641</v>
      </c>
      <c r="N31">
        <v>2</v>
      </c>
      <c r="O31" s="7">
        <v>401.93</v>
      </c>
      <c r="P31" s="11">
        <f t="shared" si="3"/>
        <v>682.00947368421055</v>
      </c>
      <c r="Q31">
        <v>104</v>
      </c>
      <c r="R31" s="15">
        <v>41.91</v>
      </c>
      <c r="S31" s="11">
        <f t="shared" si="4"/>
        <v>222.48684210526312</v>
      </c>
      <c r="T31" s="8">
        <v>1</v>
      </c>
      <c r="U31" s="8">
        <f t="shared" si="5"/>
        <v>135.81</v>
      </c>
      <c r="V31" s="11">
        <f t="shared" si="6"/>
        <v>198.27052631578945</v>
      </c>
      <c r="W31" s="11">
        <f t="shared" si="9"/>
        <v>161.32999999999998</v>
      </c>
    </row>
    <row r="32" spans="1:23" x14ac:dyDescent="0.3">
      <c r="A32" s="8">
        <f t="shared" si="7"/>
        <v>5</v>
      </c>
      <c r="B32" s="4">
        <v>37742</v>
      </c>
      <c r="C32" s="7">
        <v>305.37</v>
      </c>
      <c r="D32" s="11">
        <f t="shared" si="8"/>
        <v>310.70526315789482</v>
      </c>
      <c r="E32">
        <v>2</v>
      </c>
      <c r="F32" s="7">
        <v>21.67</v>
      </c>
      <c r="G32" s="11">
        <f t="shared" si="10"/>
        <v>38.770000000000003</v>
      </c>
      <c r="H32">
        <v>104</v>
      </c>
      <c r="I32" s="7">
        <v>216.41</v>
      </c>
      <c r="J32" s="11">
        <f t="shared" si="1"/>
        <v>306.97578947368419</v>
      </c>
      <c r="K32">
        <v>1</v>
      </c>
      <c r="L32" s="7">
        <v>3810.83</v>
      </c>
      <c r="M32" s="11">
        <f t="shared" si="2"/>
        <v>2961.8094736842104</v>
      </c>
      <c r="N32">
        <v>2</v>
      </c>
      <c r="O32" s="7">
        <v>364.43</v>
      </c>
      <c r="P32" s="11">
        <f t="shared" si="3"/>
        <v>530.60473684210535</v>
      </c>
      <c r="Q32">
        <v>104</v>
      </c>
      <c r="R32" s="15">
        <v>17.149999999999999</v>
      </c>
      <c r="S32" s="11">
        <f t="shared" si="4"/>
        <v>164.41473684210524</v>
      </c>
      <c r="T32" s="8">
        <v>1</v>
      </c>
      <c r="U32" s="8">
        <f t="shared" si="5"/>
        <v>148.02000000000001</v>
      </c>
      <c r="V32" s="11">
        <f t="shared" si="6"/>
        <v>223.628947368421</v>
      </c>
      <c r="W32" s="11">
        <f t="shared" si="9"/>
        <v>168.41666666666666</v>
      </c>
    </row>
    <row r="33" spans="1:23" x14ac:dyDescent="0.3">
      <c r="A33" s="8">
        <f t="shared" si="7"/>
        <v>6</v>
      </c>
      <c r="B33" s="4">
        <v>37773</v>
      </c>
      <c r="C33" s="7">
        <v>181.16</v>
      </c>
      <c r="D33" s="11">
        <f t="shared" si="8"/>
        <v>145.28526315789475</v>
      </c>
      <c r="E33">
        <v>2</v>
      </c>
      <c r="F33" s="7">
        <v>21.16</v>
      </c>
      <c r="G33" s="11">
        <f t="shared" si="10"/>
        <v>40.809285714285714</v>
      </c>
      <c r="H33">
        <v>104</v>
      </c>
      <c r="I33" s="7">
        <v>115.75</v>
      </c>
      <c r="J33" s="11">
        <f t="shared" si="1"/>
        <v>158.42111111111114</v>
      </c>
      <c r="K33">
        <v>1</v>
      </c>
      <c r="L33" s="7">
        <v>1801.34</v>
      </c>
      <c r="M33" s="11">
        <f t="shared" si="2"/>
        <v>1490.274210526316</v>
      </c>
      <c r="N33">
        <v>2</v>
      </c>
      <c r="O33" s="7">
        <v>264.33999999999997</v>
      </c>
      <c r="P33" s="11">
        <f t="shared" si="3"/>
        <v>340.09052631578948</v>
      </c>
      <c r="Q33">
        <v>2</v>
      </c>
      <c r="R33" s="15">
        <v>12.59</v>
      </c>
      <c r="S33" s="11">
        <f t="shared" si="4"/>
        <v>102.51894736842105</v>
      </c>
      <c r="T33" s="8">
        <v>1</v>
      </c>
      <c r="U33" s="8">
        <f t="shared" si="5"/>
        <v>148.58999999999997</v>
      </c>
      <c r="V33" s="11">
        <f t="shared" si="6"/>
        <v>179.35777777777776</v>
      </c>
      <c r="W33" s="11">
        <f t="shared" si="9"/>
        <v>179.85500000000002</v>
      </c>
    </row>
    <row r="34" spans="1:23" x14ac:dyDescent="0.3">
      <c r="A34" s="8">
        <f t="shared" si="7"/>
        <v>7</v>
      </c>
      <c r="B34" s="4">
        <v>37803</v>
      </c>
      <c r="C34" s="7">
        <v>164.24</v>
      </c>
      <c r="D34" s="11">
        <f t="shared" si="8"/>
        <v>111.3</v>
      </c>
      <c r="E34">
        <v>2</v>
      </c>
      <c r="F34" s="7">
        <v>20.94</v>
      </c>
      <c r="G34" s="11">
        <f t="shared" si="10"/>
        <v>43.05</v>
      </c>
      <c r="H34">
        <v>104</v>
      </c>
      <c r="I34" s="7">
        <v>85.3</v>
      </c>
      <c r="J34" s="11">
        <f t="shared" si="1"/>
        <v>111.83722222222222</v>
      </c>
      <c r="K34">
        <v>1</v>
      </c>
      <c r="L34" s="7">
        <v>763.73</v>
      </c>
      <c r="M34" s="11">
        <f t="shared" si="2"/>
        <v>693.74263157894745</v>
      </c>
      <c r="N34">
        <v>2</v>
      </c>
      <c r="O34" s="7">
        <v>200.32</v>
      </c>
      <c r="P34" s="11">
        <f t="shared" si="3"/>
        <v>256.32526315789482</v>
      </c>
      <c r="Q34">
        <v>104</v>
      </c>
      <c r="R34" s="15">
        <v>12.28</v>
      </c>
      <c r="S34" s="11">
        <f t="shared" si="4"/>
        <v>63.705789473684213</v>
      </c>
      <c r="T34" s="8">
        <v>1</v>
      </c>
      <c r="U34" s="8">
        <f t="shared" si="5"/>
        <v>115.02</v>
      </c>
      <c r="V34" s="11">
        <f t="shared" si="6"/>
        <v>141.94888888888892</v>
      </c>
      <c r="W34" s="11">
        <f t="shared" si="9"/>
        <v>182.69727272727272</v>
      </c>
    </row>
    <row r="35" spans="1:23" x14ac:dyDescent="0.3">
      <c r="A35" s="8">
        <f t="shared" si="7"/>
        <v>8</v>
      </c>
      <c r="B35" s="4">
        <v>37834</v>
      </c>
      <c r="C35" s="7">
        <v>143.97</v>
      </c>
      <c r="D35" s="11">
        <f t="shared" si="8"/>
        <v>92.337894736842102</v>
      </c>
      <c r="E35">
        <v>2</v>
      </c>
      <c r="F35" s="7">
        <v>19.88</v>
      </c>
      <c r="G35" s="11">
        <f t="shared" si="10"/>
        <v>45.191428571428567</v>
      </c>
      <c r="H35">
        <v>104</v>
      </c>
      <c r="I35" s="7">
        <v>69.53</v>
      </c>
      <c r="J35" s="11">
        <f t="shared" si="1"/>
        <v>89.390555555555537</v>
      </c>
      <c r="K35">
        <v>1</v>
      </c>
      <c r="L35" s="7">
        <v>409.06</v>
      </c>
      <c r="M35" s="11">
        <f t="shared" si="2"/>
        <v>417.0510526315789</v>
      </c>
      <c r="N35">
        <v>2</v>
      </c>
      <c r="O35" s="7">
        <v>161.69999999999999</v>
      </c>
      <c r="P35" s="11">
        <f t="shared" si="3"/>
        <v>208.76473684210529</v>
      </c>
      <c r="Q35">
        <v>104</v>
      </c>
      <c r="R35" s="15">
        <v>17.66</v>
      </c>
      <c r="S35" s="11">
        <f t="shared" si="4"/>
        <v>39.715789473684218</v>
      </c>
      <c r="T35" s="8">
        <v>1</v>
      </c>
      <c r="U35" s="8">
        <f t="shared" si="5"/>
        <v>92.169999999999987</v>
      </c>
      <c r="V35" s="11">
        <f t="shared" si="6"/>
        <v>118.48611111111111</v>
      </c>
      <c r="W35" s="11">
        <f t="shared" si="9"/>
        <v>189.46499999999997</v>
      </c>
    </row>
    <row r="36" spans="1:23" x14ac:dyDescent="0.3">
      <c r="A36" s="8">
        <f t="shared" si="7"/>
        <v>9</v>
      </c>
      <c r="B36" s="4">
        <v>37865</v>
      </c>
      <c r="C36" s="7">
        <v>105.05</v>
      </c>
      <c r="D36" s="11">
        <f t="shared" si="8"/>
        <v>72.209473684210522</v>
      </c>
      <c r="E36">
        <v>2</v>
      </c>
      <c r="F36" s="7">
        <v>18.600000000000001</v>
      </c>
      <c r="G36" s="11">
        <f t="shared" si="10"/>
        <v>44.037692307692296</v>
      </c>
      <c r="H36">
        <v>104</v>
      </c>
      <c r="I36" s="7">
        <v>47.32</v>
      </c>
      <c r="J36" s="11">
        <f t="shared" si="1"/>
        <v>64.317222222222213</v>
      </c>
      <c r="K36">
        <v>1</v>
      </c>
      <c r="L36" s="7">
        <v>288.11</v>
      </c>
      <c r="M36" s="11">
        <f t="shared" si="2"/>
        <v>300.97526315789474</v>
      </c>
      <c r="N36">
        <v>2</v>
      </c>
      <c r="O36" s="7">
        <v>132.91999999999999</v>
      </c>
      <c r="P36" s="11">
        <f t="shared" si="3"/>
        <v>173.37368421052631</v>
      </c>
      <c r="Q36">
        <v>104</v>
      </c>
      <c r="R36" s="15">
        <v>18.829999999999998</v>
      </c>
      <c r="S36" s="11">
        <f t="shared" si="4"/>
        <v>68.976315789473688</v>
      </c>
      <c r="T36" s="8">
        <v>1</v>
      </c>
      <c r="U36" s="8">
        <f t="shared" si="5"/>
        <v>85.6</v>
      </c>
      <c r="V36" s="11">
        <f t="shared" si="6"/>
        <v>108.505</v>
      </c>
      <c r="W36" s="11">
        <f t="shared" si="9"/>
        <v>200.27555555555554</v>
      </c>
    </row>
    <row r="37" spans="1:23" x14ac:dyDescent="0.3">
      <c r="A37" s="8">
        <f t="shared" si="7"/>
        <v>10</v>
      </c>
      <c r="B37" s="4">
        <v>37895</v>
      </c>
      <c r="C37" s="7">
        <v>38.26</v>
      </c>
      <c r="D37" s="11">
        <f t="shared" si="8"/>
        <v>53.688421052631583</v>
      </c>
      <c r="E37">
        <v>2</v>
      </c>
      <c r="F37" s="7">
        <v>16.850000000000001</v>
      </c>
      <c r="G37" s="11">
        <f t="shared" si="10"/>
        <v>38.246428571428574</v>
      </c>
      <c r="H37">
        <v>2</v>
      </c>
      <c r="I37" s="7">
        <v>29.29</v>
      </c>
      <c r="J37" s="11">
        <f t="shared" si="1"/>
        <v>43.578947368421062</v>
      </c>
      <c r="K37">
        <v>1</v>
      </c>
      <c r="L37" s="7">
        <v>216.45</v>
      </c>
      <c r="M37" s="11">
        <f t="shared" si="2"/>
        <v>237.62421052631578</v>
      </c>
      <c r="N37">
        <v>2</v>
      </c>
      <c r="O37" s="7">
        <v>103.08</v>
      </c>
      <c r="P37" s="11">
        <f t="shared" si="3"/>
        <v>143.08473684210523</v>
      </c>
      <c r="Q37">
        <v>104</v>
      </c>
      <c r="R37" s="15">
        <v>18.649999999999999</v>
      </c>
      <c r="S37" s="11">
        <f t="shared" si="4"/>
        <v>56.208947368421043</v>
      </c>
      <c r="T37" s="8">
        <v>1</v>
      </c>
      <c r="U37" s="8">
        <f t="shared" si="5"/>
        <v>73.789999999999992</v>
      </c>
      <c r="V37" s="11">
        <f t="shared" si="6"/>
        <v>99.505789473684189</v>
      </c>
      <c r="W37" s="11">
        <f t="shared" si="9"/>
        <v>214.60999999999999</v>
      </c>
    </row>
    <row r="38" spans="1:23" x14ac:dyDescent="0.3">
      <c r="A38" s="8">
        <f t="shared" si="7"/>
        <v>11</v>
      </c>
      <c r="B38" s="4">
        <v>37926</v>
      </c>
      <c r="C38" s="7">
        <v>87.06</v>
      </c>
      <c r="D38" s="11">
        <f t="shared" si="8"/>
        <v>65.729473684210518</v>
      </c>
      <c r="E38">
        <v>2</v>
      </c>
      <c r="F38" s="7">
        <v>15.86</v>
      </c>
      <c r="G38" s="11">
        <f t="shared" si="10"/>
        <v>31.170666666666669</v>
      </c>
      <c r="H38">
        <v>2</v>
      </c>
      <c r="I38" s="7">
        <v>29.92</v>
      </c>
      <c r="J38" s="11">
        <f t="shared" si="1"/>
        <v>42.795263157894738</v>
      </c>
      <c r="K38">
        <v>1</v>
      </c>
      <c r="L38" s="7">
        <v>212.26</v>
      </c>
      <c r="M38" s="11">
        <f t="shared" si="2"/>
        <v>234.77473684210523</v>
      </c>
      <c r="N38">
        <v>2</v>
      </c>
      <c r="O38" s="7">
        <v>105.69</v>
      </c>
      <c r="P38" s="11">
        <f t="shared" si="3"/>
        <v>138.83421052631579</v>
      </c>
      <c r="Q38">
        <v>104</v>
      </c>
      <c r="R38" s="15">
        <v>19.09</v>
      </c>
      <c r="S38" s="11">
        <f t="shared" si="4"/>
        <v>58.608421052631591</v>
      </c>
      <c r="T38" s="8">
        <v>1</v>
      </c>
      <c r="U38" s="8">
        <f t="shared" si="5"/>
        <v>75.77</v>
      </c>
      <c r="V38" s="11">
        <f t="shared" si="6"/>
        <v>96.038947368421077</v>
      </c>
      <c r="W38" s="11">
        <f t="shared" si="9"/>
        <v>217.48749999999998</v>
      </c>
    </row>
    <row r="39" spans="1:23" x14ac:dyDescent="0.3">
      <c r="A39" s="8">
        <f t="shared" si="7"/>
        <v>12</v>
      </c>
      <c r="B39" s="4">
        <v>37956</v>
      </c>
      <c r="C39" s="7">
        <v>188.53</v>
      </c>
      <c r="D39" s="11">
        <f t="shared" si="8"/>
        <v>164.87789473684211</v>
      </c>
      <c r="E39">
        <v>2</v>
      </c>
      <c r="F39" s="7">
        <v>17.66</v>
      </c>
      <c r="G39" s="11">
        <f t="shared" si="10"/>
        <v>29.229375000000001</v>
      </c>
      <c r="H39">
        <v>2</v>
      </c>
      <c r="I39" s="7">
        <v>109.51</v>
      </c>
      <c r="J39" s="11">
        <f t="shared" si="1"/>
        <v>123.60999999999999</v>
      </c>
      <c r="K39">
        <v>1</v>
      </c>
      <c r="L39" s="7">
        <v>280.60000000000002</v>
      </c>
      <c r="M39" s="11">
        <f t="shared" si="2"/>
        <v>340.84421052631575</v>
      </c>
      <c r="N39">
        <v>2</v>
      </c>
      <c r="O39" s="7">
        <v>215.43</v>
      </c>
      <c r="P39" s="11">
        <f t="shared" si="3"/>
        <v>216.46631578947367</v>
      </c>
      <c r="Q39">
        <v>104</v>
      </c>
      <c r="R39" s="15">
        <v>22.06</v>
      </c>
      <c r="S39" s="11">
        <f t="shared" si="4"/>
        <v>129.68894736842105</v>
      </c>
      <c r="T39" s="8">
        <v>1</v>
      </c>
      <c r="U39" s="8">
        <f t="shared" si="5"/>
        <v>105.92</v>
      </c>
      <c r="V39" s="11">
        <f t="shared" si="6"/>
        <v>92.856315789473669</v>
      </c>
      <c r="W39" s="11">
        <f t="shared" si="9"/>
        <v>219.36124999999998</v>
      </c>
    </row>
    <row r="40" spans="1:23" x14ac:dyDescent="0.3">
      <c r="A40" s="8">
        <f t="shared" si="7"/>
        <v>1</v>
      </c>
      <c r="B40" s="4">
        <v>37987</v>
      </c>
      <c r="C40" s="7">
        <v>579.48</v>
      </c>
      <c r="D40" s="11">
        <f t="shared" si="8"/>
        <v>262.35600000000005</v>
      </c>
      <c r="E40">
        <v>2</v>
      </c>
      <c r="F40" s="7">
        <v>19.43</v>
      </c>
      <c r="G40" s="11">
        <f t="shared" si="10"/>
        <v>30.8</v>
      </c>
      <c r="H40">
        <v>2</v>
      </c>
      <c r="I40" s="7">
        <v>500.1</v>
      </c>
      <c r="J40" s="11">
        <f t="shared" si="1"/>
        <v>241.63399999999996</v>
      </c>
      <c r="K40">
        <v>1</v>
      </c>
      <c r="L40" s="7">
        <v>500.98</v>
      </c>
      <c r="M40" s="11">
        <f t="shared" si="2"/>
        <v>671.20894736842092</v>
      </c>
      <c r="N40">
        <v>2</v>
      </c>
      <c r="O40" s="7">
        <v>728.8</v>
      </c>
      <c r="P40" s="11">
        <f t="shared" si="3"/>
        <v>362.94894736842105</v>
      </c>
      <c r="Q40">
        <v>77</v>
      </c>
      <c r="R40" s="15">
        <v>18.649999999999999</v>
      </c>
      <c r="S40" s="11">
        <f t="shared" si="4"/>
        <v>90.957368421052621</v>
      </c>
      <c r="T40" s="8">
        <v>1</v>
      </c>
      <c r="U40" s="8">
        <f t="shared" si="5"/>
        <v>228.69999999999993</v>
      </c>
      <c r="V40" s="11">
        <f t="shared" si="6"/>
        <v>126.33499999999998</v>
      </c>
      <c r="W40" s="11">
        <f t="shared" si="9"/>
        <v>218.09249999999997</v>
      </c>
    </row>
    <row r="41" spans="1:23" x14ac:dyDescent="0.3">
      <c r="A41" s="8">
        <f t="shared" si="7"/>
        <v>2</v>
      </c>
      <c r="B41" s="4">
        <v>38018</v>
      </c>
      <c r="C41" s="7">
        <v>1072.0899999999999</v>
      </c>
      <c r="D41" s="11">
        <f t="shared" si="8"/>
        <v>328.9663157894737</v>
      </c>
      <c r="E41">
        <v>2</v>
      </c>
      <c r="F41" s="7">
        <v>20.57</v>
      </c>
      <c r="G41" s="11">
        <f t="shared" si="10"/>
        <v>33.1875</v>
      </c>
      <c r="H41">
        <v>2</v>
      </c>
      <c r="I41" s="7">
        <v>712</v>
      </c>
      <c r="J41" s="11">
        <f t="shared" si="1"/>
        <v>334.30099999999993</v>
      </c>
      <c r="K41">
        <v>1</v>
      </c>
      <c r="L41" s="7">
        <v>1023.24</v>
      </c>
      <c r="M41" s="11">
        <f t="shared" si="2"/>
        <v>1650.3500000000001</v>
      </c>
      <c r="N41">
        <v>2</v>
      </c>
      <c r="O41" s="7">
        <v>1064.31</v>
      </c>
      <c r="P41" s="11">
        <f t="shared" si="3"/>
        <v>463.72789473684207</v>
      </c>
      <c r="Q41">
        <v>77</v>
      </c>
      <c r="R41" s="15">
        <v>18.399999999999999</v>
      </c>
      <c r="S41" s="11">
        <f t="shared" si="4"/>
        <v>109.05882352941175</v>
      </c>
      <c r="T41" s="8">
        <v>1</v>
      </c>
      <c r="U41" s="8">
        <f t="shared" si="5"/>
        <v>352.30999999999995</v>
      </c>
      <c r="V41" s="11">
        <f t="shared" si="6"/>
        <v>134.9257894736842</v>
      </c>
      <c r="W41" s="11">
        <f t="shared" si="9"/>
        <v>199.56874999999999</v>
      </c>
    </row>
    <row r="42" spans="1:23" x14ac:dyDescent="0.3">
      <c r="A42" s="8">
        <f t="shared" si="7"/>
        <v>3</v>
      </c>
      <c r="B42" s="4">
        <v>38047</v>
      </c>
      <c r="C42" s="7">
        <v>651.54</v>
      </c>
      <c r="D42" s="11">
        <f t="shared" si="8"/>
        <v>469.14</v>
      </c>
      <c r="E42">
        <v>2</v>
      </c>
      <c r="G42" s="11">
        <f t="shared" si="10"/>
        <v>37.004666666666672</v>
      </c>
      <c r="H42">
        <v>151</v>
      </c>
      <c r="I42" s="7">
        <v>552.34</v>
      </c>
      <c r="J42" s="11">
        <f t="shared" si="1"/>
        <v>431.04200000000003</v>
      </c>
      <c r="K42">
        <v>1</v>
      </c>
      <c r="L42" s="7">
        <v>3583.94</v>
      </c>
      <c r="M42" s="11">
        <f t="shared" si="2"/>
        <v>3124.677368421053</v>
      </c>
      <c r="N42">
        <v>2</v>
      </c>
      <c r="O42" s="7">
        <v>926.6</v>
      </c>
      <c r="P42" s="11">
        <f t="shared" si="3"/>
        <v>565.95157894736838</v>
      </c>
      <c r="Q42">
        <v>77</v>
      </c>
      <c r="R42" s="15">
        <v>16.53</v>
      </c>
      <c r="S42" s="11">
        <f t="shared" si="4"/>
        <v>223.16157894736844</v>
      </c>
      <c r="T42" s="8">
        <v>1</v>
      </c>
      <c r="U42" s="8">
        <f t="shared" si="5"/>
        <v>374.26</v>
      </c>
      <c r="V42" s="11">
        <f t="shared" si="6"/>
        <v>138.05736842105264</v>
      </c>
      <c r="W42" s="11">
        <f t="shared" si="9"/>
        <v>160.43375</v>
      </c>
    </row>
    <row r="43" spans="1:23" x14ac:dyDescent="0.3">
      <c r="A43" s="8">
        <f t="shared" si="7"/>
        <v>4</v>
      </c>
      <c r="B43" s="4">
        <v>38078</v>
      </c>
      <c r="C43" s="7">
        <v>453.67</v>
      </c>
      <c r="D43" s="11">
        <f t="shared" si="8"/>
        <v>589.29650000000015</v>
      </c>
      <c r="E43">
        <v>2</v>
      </c>
      <c r="G43" s="11">
        <f t="shared" si="10"/>
        <v>37.96</v>
      </c>
      <c r="H43">
        <v>151</v>
      </c>
      <c r="I43" s="7">
        <v>517.38</v>
      </c>
      <c r="J43" s="11">
        <f t="shared" si="1"/>
        <v>483.73894736842101</v>
      </c>
      <c r="K43">
        <v>1</v>
      </c>
      <c r="L43" s="7">
        <v>5254.92</v>
      </c>
      <c r="M43" s="11">
        <f t="shared" si="2"/>
        <v>3744.6268421052641</v>
      </c>
      <c r="N43">
        <v>2</v>
      </c>
      <c r="O43" s="7">
        <v>738.23</v>
      </c>
      <c r="P43" s="11">
        <f t="shared" si="3"/>
        <v>682.00947368421055</v>
      </c>
      <c r="Q43">
        <v>1</v>
      </c>
      <c r="R43" s="15">
        <v>52.28</v>
      </c>
      <c r="S43" s="11">
        <f t="shared" si="4"/>
        <v>222.48684210526312</v>
      </c>
      <c r="T43" s="8">
        <v>1</v>
      </c>
      <c r="U43" s="8">
        <f t="shared" si="5"/>
        <v>220.85000000000002</v>
      </c>
      <c r="V43" s="11">
        <f t="shared" si="6"/>
        <v>198.27052631578945</v>
      </c>
      <c r="W43" s="11">
        <f t="shared" si="9"/>
        <v>129.01249999999999</v>
      </c>
    </row>
    <row r="44" spans="1:23" x14ac:dyDescent="0.3">
      <c r="A44" s="8">
        <f t="shared" si="7"/>
        <v>5</v>
      </c>
      <c r="B44" s="4">
        <v>38108</v>
      </c>
      <c r="C44" s="7">
        <v>328.25</v>
      </c>
      <c r="D44" s="11">
        <f t="shared" si="8"/>
        <v>310.70526315789482</v>
      </c>
      <c r="E44">
        <v>2</v>
      </c>
      <c r="G44" s="11">
        <f t="shared" si="10"/>
        <v>38.770000000000003</v>
      </c>
      <c r="H44">
        <v>151</v>
      </c>
      <c r="I44" s="7">
        <v>291.55</v>
      </c>
      <c r="J44" s="11">
        <f t="shared" si="1"/>
        <v>306.97578947368419</v>
      </c>
      <c r="K44">
        <v>1</v>
      </c>
      <c r="L44" s="7">
        <v>3663.43</v>
      </c>
      <c r="M44" s="11">
        <f t="shared" si="2"/>
        <v>2961.8094736842104</v>
      </c>
      <c r="N44">
        <v>2</v>
      </c>
      <c r="O44" s="7">
        <v>576.83000000000004</v>
      </c>
      <c r="P44" s="11">
        <f t="shared" si="3"/>
        <v>530.60473684210535</v>
      </c>
      <c r="Q44">
        <v>1</v>
      </c>
      <c r="R44" s="15">
        <v>41.07</v>
      </c>
      <c r="S44" s="11">
        <f t="shared" si="4"/>
        <v>164.41473684210524</v>
      </c>
      <c r="T44" s="8">
        <v>1</v>
      </c>
      <c r="U44" s="8">
        <f>IF(AND(O44&gt;0,I44&gt;0),O44-I44,"")</f>
        <v>285.28000000000003</v>
      </c>
      <c r="V44" s="11">
        <f t="shared" si="6"/>
        <v>223.628947368421</v>
      </c>
      <c r="W44" s="11">
        <f t="shared" si="9"/>
        <v>114.64</v>
      </c>
    </row>
    <row r="45" spans="1:23" x14ac:dyDescent="0.3">
      <c r="A45" s="8">
        <f t="shared" si="7"/>
        <v>6</v>
      </c>
      <c r="B45" s="4">
        <v>38139</v>
      </c>
      <c r="C45" s="7">
        <v>189.18</v>
      </c>
      <c r="D45" s="11">
        <f t="shared" si="8"/>
        <v>145.28526315789475</v>
      </c>
      <c r="E45">
        <v>2</v>
      </c>
      <c r="G45" s="11">
        <f t="shared" si="10"/>
        <v>40.809285714285714</v>
      </c>
      <c r="H45">
        <v>151</v>
      </c>
      <c r="J45" s="11">
        <f t="shared" si="1"/>
        <v>158.42111111111114</v>
      </c>
      <c r="K45">
        <v>151</v>
      </c>
      <c r="L45" s="7">
        <v>1790.38</v>
      </c>
      <c r="M45" s="11">
        <f t="shared" si="2"/>
        <v>1490.274210526316</v>
      </c>
      <c r="N45">
        <v>2</v>
      </c>
      <c r="O45" s="7">
        <v>381.7</v>
      </c>
      <c r="P45" s="11">
        <f t="shared" si="3"/>
        <v>340.09052631578948</v>
      </c>
      <c r="Q45">
        <v>1</v>
      </c>
      <c r="R45" s="15">
        <v>31.75</v>
      </c>
      <c r="S45" s="11">
        <f t="shared" si="4"/>
        <v>102.51894736842105</v>
      </c>
      <c r="T45" s="8">
        <v>1</v>
      </c>
      <c r="U45" s="8" t="str">
        <f t="shared" ref="U45:U108" si="11">IF(AND(O45&gt;0,I45&gt;0),O45-I45,"")</f>
        <v/>
      </c>
      <c r="V45" s="11">
        <f t="shared" si="6"/>
        <v>179.35777777777776</v>
      </c>
      <c r="W45" s="11">
        <f t="shared" si="9"/>
        <v>114.49625</v>
      </c>
    </row>
    <row r="46" spans="1:23" x14ac:dyDescent="0.3">
      <c r="A46" s="8">
        <f t="shared" si="7"/>
        <v>7</v>
      </c>
      <c r="B46" s="4">
        <v>38169</v>
      </c>
      <c r="C46" s="7">
        <v>111.33</v>
      </c>
      <c r="D46" s="11">
        <f t="shared" si="8"/>
        <v>111.3</v>
      </c>
      <c r="E46">
        <v>2</v>
      </c>
      <c r="G46" s="11">
        <f t="shared" si="10"/>
        <v>43.05</v>
      </c>
      <c r="H46">
        <v>151</v>
      </c>
      <c r="J46" s="11">
        <f t="shared" si="1"/>
        <v>111.83722222222222</v>
      </c>
      <c r="K46">
        <v>151</v>
      </c>
      <c r="L46" s="7">
        <v>764.43</v>
      </c>
      <c r="M46" s="11">
        <f t="shared" si="2"/>
        <v>693.74263157894745</v>
      </c>
      <c r="N46">
        <v>2</v>
      </c>
      <c r="O46" s="7">
        <v>302.02999999999997</v>
      </c>
      <c r="P46" s="11">
        <f t="shared" si="3"/>
        <v>256.32526315789482</v>
      </c>
      <c r="Q46">
        <v>1</v>
      </c>
      <c r="R46" s="15">
        <v>25.32</v>
      </c>
      <c r="S46" s="11">
        <f t="shared" si="4"/>
        <v>63.705789473684213</v>
      </c>
      <c r="T46" s="8">
        <v>1</v>
      </c>
      <c r="U46" s="8" t="str">
        <f t="shared" si="11"/>
        <v/>
      </c>
      <c r="V46" s="11">
        <f t="shared" si="6"/>
        <v>141.94888888888892</v>
      </c>
      <c r="W46" s="11">
        <f t="shared" si="9"/>
        <v>124.78666666666666</v>
      </c>
    </row>
    <row r="47" spans="1:23" x14ac:dyDescent="0.3">
      <c r="A47" s="8">
        <f t="shared" si="7"/>
        <v>8</v>
      </c>
      <c r="B47" s="4">
        <v>38200</v>
      </c>
      <c r="C47" s="7">
        <v>130.63999999999999</v>
      </c>
      <c r="D47" s="11">
        <f t="shared" si="8"/>
        <v>92.337894736842102</v>
      </c>
      <c r="E47">
        <v>2</v>
      </c>
      <c r="G47" s="11">
        <f t="shared" si="10"/>
        <v>45.191428571428567</v>
      </c>
      <c r="H47">
        <v>151</v>
      </c>
      <c r="J47" s="11">
        <f t="shared" si="1"/>
        <v>89.390555555555537</v>
      </c>
      <c r="K47">
        <v>151</v>
      </c>
      <c r="L47" s="7">
        <v>413.41</v>
      </c>
      <c r="M47" s="11">
        <f t="shared" si="2"/>
        <v>417.0510526315789</v>
      </c>
      <c r="N47">
        <v>2</v>
      </c>
      <c r="O47" s="7">
        <v>224.75</v>
      </c>
      <c r="P47" s="11">
        <f t="shared" si="3"/>
        <v>208.76473684210529</v>
      </c>
      <c r="Q47">
        <v>1</v>
      </c>
      <c r="R47" s="15">
        <v>23.51</v>
      </c>
      <c r="S47" s="11">
        <f t="shared" si="4"/>
        <v>39.715789473684218</v>
      </c>
      <c r="T47" s="8">
        <v>1</v>
      </c>
      <c r="U47" s="8" t="str">
        <f t="shared" si="11"/>
        <v/>
      </c>
      <c r="V47" s="11">
        <f t="shared" si="6"/>
        <v>118.48611111111111</v>
      </c>
      <c r="W47" s="11">
        <f t="shared" si="9"/>
        <v>124.771</v>
      </c>
    </row>
    <row r="48" spans="1:23" x14ac:dyDescent="0.3">
      <c r="A48" s="8">
        <f t="shared" si="7"/>
        <v>9</v>
      </c>
      <c r="B48" s="4">
        <v>38231</v>
      </c>
      <c r="C48" s="7">
        <v>133.31</v>
      </c>
      <c r="D48" s="11">
        <f t="shared" si="8"/>
        <v>72.209473684210522</v>
      </c>
      <c r="E48">
        <v>2</v>
      </c>
      <c r="G48" s="11">
        <f t="shared" si="10"/>
        <v>44.037692307692296</v>
      </c>
      <c r="H48">
        <v>151</v>
      </c>
      <c r="J48" s="11">
        <f t="shared" si="1"/>
        <v>64.317222222222213</v>
      </c>
      <c r="K48">
        <v>151</v>
      </c>
      <c r="L48" s="7">
        <v>290.49</v>
      </c>
      <c r="M48" s="11">
        <f t="shared" si="2"/>
        <v>300.97526315789474</v>
      </c>
      <c r="N48">
        <v>2</v>
      </c>
      <c r="O48" s="7">
        <v>183.3</v>
      </c>
      <c r="P48" s="11">
        <f t="shared" si="3"/>
        <v>173.37368421052631</v>
      </c>
      <c r="Q48">
        <v>1</v>
      </c>
      <c r="R48" s="15">
        <v>18.649999999999999</v>
      </c>
      <c r="S48" s="11">
        <f t="shared" si="4"/>
        <v>68.976315789473688</v>
      </c>
      <c r="T48" s="8">
        <v>1</v>
      </c>
      <c r="U48" s="8" t="str">
        <f t="shared" si="11"/>
        <v/>
      </c>
      <c r="V48" s="11">
        <f t="shared" si="6"/>
        <v>108.505</v>
      </c>
      <c r="W48" s="11">
        <f t="shared" si="9"/>
        <v>121.53181818181817</v>
      </c>
    </row>
    <row r="49" spans="1:23" x14ac:dyDescent="0.3">
      <c r="A49" s="8">
        <f t="shared" si="7"/>
        <v>10</v>
      </c>
      <c r="B49" s="4">
        <v>38261</v>
      </c>
      <c r="C49" s="7">
        <v>119.7</v>
      </c>
      <c r="D49" s="11">
        <f t="shared" si="8"/>
        <v>53.688421052631583</v>
      </c>
      <c r="E49">
        <v>2</v>
      </c>
      <c r="G49" s="11">
        <f t="shared" si="10"/>
        <v>38.246428571428574</v>
      </c>
      <c r="H49">
        <v>151</v>
      </c>
      <c r="I49" s="7">
        <v>53.18</v>
      </c>
      <c r="J49" s="11">
        <f t="shared" si="1"/>
        <v>43.578947368421062</v>
      </c>
      <c r="K49">
        <v>1</v>
      </c>
      <c r="L49" s="7">
        <v>240.11</v>
      </c>
      <c r="M49" s="11">
        <f t="shared" si="2"/>
        <v>237.62421052631578</v>
      </c>
      <c r="N49">
        <v>104</v>
      </c>
      <c r="O49" s="7">
        <v>149.99</v>
      </c>
      <c r="P49" s="11">
        <f t="shared" si="3"/>
        <v>143.08473684210523</v>
      </c>
      <c r="Q49">
        <v>1</v>
      </c>
      <c r="R49" s="15">
        <v>18.649999999999999</v>
      </c>
      <c r="S49" s="11">
        <f t="shared" si="4"/>
        <v>56.208947368421043</v>
      </c>
      <c r="T49" s="8">
        <v>1</v>
      </c>
      <c r="U49" s="8">
        <f t="shared" si="11"/>
        <v>96.81</v>
      </c>
      <c r="V49" s="11">
        <f t="shared" si="6"/>
        <v>99.505789473684189</v>
      </c>
      <c r="W49" s="11">
        <f t="shared" si="9"/>
        <v>118.56583333333333</v>
      </c>
    </row>
    <row r="50" spans="1:23" x14ac:dyDescent="0.3">
      <c r="A50" s="8">
        <f t="shared" si="7"/>
        <v>11</v>
      </c>
      <c r="B50" s="4">
        <v>38292</v>
      </c>
      <c r="C50" s="7">
        <v>152.99</v>
      </c>
      <c r="D50" s="11">
        <f t="shared" si="8"/>
        <v>65.729473684210518</v>
      </c>
      <c r="E50">
        <v>2</v>
      </c>
      <c r="F50" s="7">
        <v>25.36</v>
      </c>
      <c r="G50" s="11">
        <f t="shared" si="10"/>
        <v>31.170666666666669</v>
      </c>
      <c r="H50">
        <v>2</v>
      </c>
      <c r="I50" s="7">
        <v>49.01</v>
      </c>
      <c r="J50" s="11">
        <f t="shared" si="1"/>
        <v>42.795263157894738</v>
      </c>
      <c r="K50">
        <v>1</v>
      </c>
      <c r="L50" s="7">
        <v>243.65</v>
      </c>
      <c r="M50" s="11">
        <f t="shared" si="2"/>
        <v>234.77473684210523</v>
      </c>
      <c r="N50">
        <v>104</v>
      </c>
      <c r="O50" s="7">
        <v>139.77000000000001</v>
      </c>
      <c r="P50" s="11">
        <f t="shared" si="3"/>
        <v>138.83421052631579</v>
      </c>
      <c r="Q50">
        <v>1</v>
      </c>
      <c r="R50" s="15">
        <v>16.940000000000001</v>
      </c>
      <c r="S50" s="11">
        <f t="shared" si="4"/>
        <v>58.608421052631591</v>
      </c>
      <c r="T50" s="8">
        <v>1</v>
      </c>
      <c r="U50" s="8">
        <f t="shared" si="11"/>
        <v>90.760000000000019</v>
      </c>
      <c r="V50" s="11">
        <f t="shared" si="6"/>
        <v>96.038947368421077</v>
      </c>
      <c r="W50" s="11">
        <f t="shared" si="9"/>
        <v>117.35166666666667</v>
      </c>
    </row>
    <row r="51" spans="1:23" x14ac:dyDescent="0.3">
      <c r="A51" s="8">
        <f t="shared" si="7"/>
        <v>12</v>
      </c>
      <c r="B51" s="4">
        <v>38322</v>
      </c>
      <c r="C51" s="7">
        <v>249.18</v>
      </c>
      <c r="D51" s="11">
        <f t="shared" si="8"/>
        <v>164.87789473684211</v>
      </c>
      <c r="E51">
        <v>2</v>
      </c>
      <c r="F51" s="7">
        <v>25.07</v>
      </c>
      <c r="G51" s="11">
        <f t="shared" si="10"/>
        <v>29.229375000000001</v>
      </c>
      <c r="H51">
        <v>2</v>
      </c>
      <c r="I51" s="7">
        <v>89.23</v>
      </c>
      <c r="J51" s="11">
        <f t="shared" si="1"/>
        <v>123.60999999999999</v>
      </c>
      <c r="K51">
        <v>1</v>
      </c>
      <c r="L51" s="7">
        <v>301.12</v>
      </c>
      <c r="M51" s="11">
        <f t="shared" si="2"/>
        <v>340.84421052631575</v>
      </c>
      <c r="N51">
        <v>104</v>
      </c>
      <c r="O51" s="7">
        <v>185</v>
      </c>
      <c r="P51" s="11">
        <f t="shared" si="3"/>
        <v>216.46631578947367</v>
      </c>
      <c r="Q51">
        <v>1</v>
      </c>
      <c r="R51" s="15">
        <v>18.13</v>
      </c>
      <c r="S51" s="11">
        <f t="shared" si="4"/>
        <v>129.68894736842105</v>
      </c>
      <c r="T51" s="8">
        <v>1</v>
      </c>
      <c r="U51" s="8">
        <f t="shared" si="11"/>
        <v>95.77</v>
      </c>
      <c r="V51" s="11">
        <f t="shared" si="6"/>
        <v>92.856315789473669</v>
      </c>
      <c r="W51" s="11">
        <f t="shared" si="9"/>
        <v>116.72583333333331</v>
      </c>
    </row>
    <row r="52" spans="1:23" x14ac:dyDescent="0.3">
      <c r="A52" s="8">
        <f t="shared" si="7"/>
        <v>1</v>
      </c>
      <c r="B52" s="4">
        <v>38353</v>
      </c>
      <c r="C52" s="7">
        <v>232.77</v>
      </c>
      <c r="D52" s="11">
        <f t="shared" si="8"/>
        <v>262.35600000000005</v>
      </c>
      <c r="E52">
        <v>2</v>
      </c>
      <c r="F52" s="7">
        <v>24.24</v>
      </c>
      <c r="G52" s="11">
        <f t="shared" si="10"/>
        <v>30.8</v>
      </c>
      <c r="H52">
        <v>2</v>
      </c>
      <c r="I52" s="7">
        <v>143.56</v>
      </c>
      <c r="J52" s="11">
        <f t="shared" si="1"/>
        <v>241.63399999999996</v>
      </c>
      <c r="K52">
        <v>1</v>
      </c>
      <c r="L52" s="7">
        <v>457.86</v>
      </c>
      <c r="M52" s="11">
        <f t="shared" si="2"/>
        <v>671.20894736842092</v>
      </c>
      <c r="N52">
        <v>2</v>
      </c>
      <c r="O52" s="7">
        <v>224.07</v>
      </c>
      <c r="P52" s="11">
        <f t="shared" si="3"/>
        <v>362.94894736842105</v>
      </c>
      <c r="Q52">
        <v>1</v>
      </c>
      <c r="R52" s="15">
        <v>17.760000000000002</v>
      </c>
      <c r="S52" s="11">
        <f t="shared" si="4"/>
        <v>90.957368421052621</v>
      </c>
      <c r="T52" s="8">
        <v>1</v>
      </c>
      <c r="U52" s="8">
        <f t="shared" si="11"/>
        <v>80.509999999999991</v>
      </c>
      <c r="V52" s="11">
        <f t="shared" si="6"/>
        <v>126.33499999999998</v>
      </c>
      <c r="W52" s="11">
        <f t="shared" si="9"/>
        <v>116.51666666666667</v>
      </c>
    </row>
    <row r="53" spans="1:23" x14ac:dyDescent="0.3">
      <c r="A53" s="8">
        <f t="shared" si="7"/>
        <v>2</v>
      </c>
      <c r="B53" s="4">
        <v>38384</v>
      </c>
      <c r="C53" s="7">
        <v>384.15</v>
      </c>
      <c r="D53" s="11">
        <f t="shared" si="8"/>
        <v>328.9663157894737</v>
      </c>
      <c r="E53">
        <v>2</v>
      </c>
      <c r="F53" s="7">
        <v>24.16</v>
      </c>
      <c r="G53" s="11">
        <f t="shared" si="10"/>
        <v>33.1875</v>
      </c>
      <c r="H53">
        <v>2</v>
      </c>
      <c r="I53" s="7">
        <v>366.01</v>
      </c>
      <c r="J53" s="11">
        <f t="shared" si="1"/>
        <v>334.30099999999993</v>
      </c>
      <c r="K53">
        <v>1</v>
      </c>
      <c r="L53" s="7">
        <v>798.22</v>
      </c>
      <c r="M53" s="11">
        <f t="shared" si="2"/>
        <v>1650.3500000000001</v>
      </c>
      <c r="N53">
        <v>2</v>
      </c>
      <c r="O53" s="7">
        <v>405.24</v>
      </c>
      <c r="P53" s="11">
        <f t="shared" si="3"/>
        <v>463.72789473684207</v>
      </c>
      <c r="Q53">
        <v>1</v>
      </c>
      <c r="R53" s="15">
        <v>26.55</v>
      </c>
      <c r="S53" s="11">
        <f t="shared" si="4"/>
        <v>109.05882352941175</v>
      </c>
      <c r="T53" s="8">
        <v>1</v>
      </c>
      <c r="U53" s="8">
        <f t="shared" si="11"/>
        <v>39.230000000000018</v>
      </c>
      <c r="V53" s="11">
        <f t="shared" si="6"/>
        <v>134.9257894736842</v>
      </c>
      <c r="W53" s="11">
        <f t="shared" si="9"/>
        <v>118.30916666666667</v>
      </c>
    </row>
    <row r="54" spans="1:23" x14ac:dyDescent="0.3">
      <c r="A54" s="8">
        <f t="shared" si="7"/>
        <v>3</v>
      </c>
      <c r="B54" s="4">
        <v>38412</v>
      </c>
      <c r="C54" s="7">
        <v>424.02</v>
      </c>
      <c r="D54" s="11">
        <f t="shared" si="8"/>
        <v>469.14</v>
      </c>
      <c r="E54">
        <v>2</v>
      </c>
      <c r="F54" s="7">
        <v>24.05</v>
      </c>
      <c r="G54" s="11">
        <f t="shared" si="10"/>
        <v>37.004666666666672</v>
      </c>
      <c r="H54">
        <v>2</v>
      </c>
      <c r="I54" s="7">
        <v>386.31</v>
      </c>
      <c r="J54" s="11">
        <f t="shared" si="1"/>
        <v>431.04200000000003</v>
      </c>
      <c r="K54">
        <v>1</v>
      </c>
      <c r="L54" s="7">
        <v>1372.34</v>
      </c>
      <c r="M54" s="11">
        <f t="shared" si="2"/>
        <v>3124.677368421053</v>
      </c>
      <c r="N54">
        <v>2</v>
      </c>
      <c r="O54" s="7">
        <v>509.2</v>
      </c>
      <c r="P54" s="11">
        <f t="shared" si="3"/>
        <v>565.95157894736838</v>
      </c>
      <c r="Q54">
        <v>1</v>
      </c>
      <c r="R54" s="15">
        <v>24.02</v>
      </c>
      <c r="S54" s="11">
        <f t="shared" si="4"/>
        <v>223.16157894736844</v>
      </c>
      <c r="T54" s="8">
        <v>1</v>
      </c>
      <c r="U54" s="8">
        <f t="shared" si="11"/>
        <v>122.88999999999999</v>
      </c>
      <c r="V54" s="11">
        <f t="shared" si="6"/>
        <v>138.05736842105264</v>
      </c>
      <c r="W54" s="11">
        <f t="shared" si="9"/>
        <v>126.05833333333334</v>
      </c>
    </row>
    <row r="55" spans="1:23" x14ac:dyDescent="0.3">
      <c r="A55" s="8">
        <f t="shared" si="7"/>
        <v>4</v>
      </c>
      <c r="B55" s="4">
        <v>38443</v>
      </c>
      <c r="C55" s="7">
        <v>562.11</v>
      </c>
      <c r="D55" s="11">
        <f t="shared" si="8"/>
        <v>589.29650000000015</v>
      </c>
      <c r="E55">
        <v>2</v>
      </c>
      <c r="F55" s="7">
        <v>24.79</v>
      </c>
      <c r="G55" s="11">
        <f t="shared" si="10"/>
        <v>37.96</v>
      </c>
      <c r="H55">
        <v>2</v>
      </c>
      <c r="I55" s="7">
        <v>588.67999999999995</v>
      </c>
      <c r="J55" s="11">
        <f t="shared" si="1"/>
        <v>483.73894736842101</v>
      </c>
      <c r="K55">
        <v>1</v>
      </c>
      <c r="L55" s="7">
        <v>1397.96</v>
      </c>
      <c r="M55" s="11">
        <f t="shared" si="2"/>
        <v>3744.6268421052641</v>
      </c>
      <c r="N55">
        <v>2</v>
      </c>
      <c r="O55" s="7">
        <v>694.55</v>
      </c>
      <c r="P55" s="11">
        <f t="shared" si="3"/>
        <v>682.00947368421055</v>
      </c>
      <c r="Q55">
        <v>1</v>
      </c>
      <c r="R55" s="15">
        <v>34.479999999999997</v>
      </c>
      <c r="S55" s="11">
        <f t="shared" si="4"/>
        <v>222.48684210526312</v>
      </c>
      <c r="T55" s="8">
        <v>1</v>
      </c>
      <c r="U55" s="8">
        <f t="shared" si="11"/>
        <v>105.87</v>
      </c>
      <c r="V55" s="11">
        <f t="shared" si="6"/>
        <v>198.27052631578945</v>
      </c>
      <c r="W55" s="11">
        <f t="shared" si="9"/>
        <v>127.53166666666665</v>
      </c>
    </row>
    <row r="56" spans="1:23" x14ac:dyDescent="0.3">
      <c r="A56" s="8">
        <f t="shared" si="7"/>
        <v>5</v>
      </c>
      <c r="B56" s="4">
        <v>38473</v>
      </c>
      <c r="C56" s="7">
        <v>227.67</v>
      </c>
      <c r="D56" s="11">
        <f t="shared" si="8"/>
        <v>310.70526315789482</v>
      </c>
      <c r="E56">
        <v>2</v>
      </c>
      <c r="F56" s="7">
        <v>23.84</v>
      </c>
      <c r="G56" s="11">
        <f t="shared" si="10"/>
        <v>38.770000000000003</v>
      </c>
      <c r="H56">
        <v>2</v>
      </c>
      <c r="I56" s="7">
        <v>318.13</v>
      </c>
      <c r="J56" s="11">
        <f t="shared" si="1"/>
        <v>306.97578947368419</v>
      </c>
      <c r="K56">
        <v>1</v>
      </c>
      <c r="L56" s="7">
        <v>1424.21</v>
      </c>
      <c r="M56" s="11">
        <f t="shared" si="2"/>
        <v>2961.8094736842104</v>
      </c>
      <c r="N56">
        <v>2</v>
      </c>
      <c r="O56" s="7">
        <v>602.26</v>
      </c>
      <c r="P56" s="11">
        <f t="shared" si="3"/>
        <v>530.60473684210535</v>
      </c>
      <c r="Q56">
        <v>77</v>
      </c>
      <c r="R56" s="15">
        <v>29.98</v>
      </c>
      <c r="S56" s="11">
        <f t="shared" si="4"/>
        <v>164.41473684210524</v>
      </c>
      <c r="T56" s="8">
        <v>1</v>
      </c>
      <c r="U56" s="8">
        <f t="shared" si="11"/>
        <v>284.13</v>
      </c>
      <c r="V56" s="11">
        <f t="shared" si="6"/>
        <v>223.628947368421</v>
      </c>
      <c r="W56" s="11">
        <f t="shared" si="9"/>
        <v>131.52833333333334</v>
      </c>
    </row>
    <row r="57" spans="1:23" x14ac:dyDescent="0.3">
      <c r="A57" s="8">
        <f t="shared" si="7"/>
        <v>6</v>
      </c>
      <c r="B57" s="4">
        <v>38504</v>
      </c>
      <c r="C57" s="7">
        <v>131.52000000000001</v>
      </c>
      <c r="D57" s="11">
        <f t="shared" si="8"/>
        <v>145.28526315789475</v>
      </c>
      <c r="E57">
        <v>2</v>
      </c>
      <c r="G57" s="11">
        <f t="shared" si="10"/>
        <v>40.809285714285714</v>
      </c>
      <c r="H57">
        <v>151</v>
      </c>
      <c r="I57" s="7">
        <v>152.74</v>
      </c>
      <c r="J57" s="11">
        <f t="shared" si="1"/>
        <v>158.42111111111114</v>
      </c>
      <c r="K57">
        <v>1</v>
      </c>
      <c r="L57" s="7">
        <v>875.81</v>
      </c>
      <c r="M57" s="11">
        <f t="shared" si="2"/>
        <v>1490.274210526316</v>
      </c>
      <c r="N57">
        <v>2</v>
      </c>
      <c r="O57" s="7">
        <v>359.85</v>
      </c>
      <c r="P57" s="11">
        <f t="shared" si="3"/>
        <v>340.09052631578948</v>
      </c>
      <c r="Q57">
        <v>77</v>
      </c>
      <c r="R57" s="15">
        <v>24.92</v>
      </c>
      <c r="S57" s="11">
        <f t="shared" si="4"/>
        <v>102.51894736842105</v>
      </c>
      <c r="T57" s="8">
        <v>1</v>
      </c>
      <c r="U57" s="8">
        <f t="shared" si="11"/>
        <v>207.11</v>
      </c>
      <c r="V57" s="11">
        <f t="shared" si="6"/>
        <v>179.35777777777776</v>
      </c>
      <c r="W57" s="11">
        <f t="shared" si="9"/>
        <v>122.83833333333331</v>
      </c>
    </row>
    <row r="58" spans="1:23" x14ac:dyDescent="0.3">
      <c r="A58" s="8">
        <f t="shared" si="7"/>
        <v>7</v>
      </c>
      <c r="B58" s="4">
        <v>38534</v>
      </c>
      <c r="C58" s="7">
        <v>122.82</v>
      </c>
      <c r="D58" s="11">
        <f t="shared" si="8"/>
        <v>111.3</v>
      </c>
      <c r="E58">
        <v>2</v>
      </c>
      <c r="G58" s="11">
        <f t="shared" si="10"/>
        <v>43.05</v>
      </c>
      <c r="H58">
        <v>151</v>
      </c>
      <c r="I58" s="7">
        <v>112.07</v>
      </c>
      <c r="J58" s="11">
        <f t="shared" si="1"/>
        <v>111.83722222222222</v>
      </c>
      <c r="K58">
        <v>1</v>
      </c>
      <c r="L58" s="7">
        <v>432.65</v>
      </c>
      <c r="M58" s="11">
        <f t="shared" si="2"/>
        <v>693.74263157894745</v>
      </c>
      <c r="N58">
        <v>2</v>
      </c>
      <c r="O58" s="7">
        <v>236.7</v>
      </c>
      <c r="P58" s="11">
        <f t="shared" si="3"/>
        <v>256.32526315789482</v>
      </c>
      <c r="Q58">
        <v>77</v>
      </c>
      <c r="R58" s="15">
        <v>22.94</v>
      </c>
      <c r="S58" s="11">
        <f t="shared" si="4"/>
        <v>63.705789473684213</v>
      </c>
      <c r="T58" s="8">
        <v>1</v>
      </c>
      <c r="U58" s="8">
        <f t="shared" si="11"/>
        <v>124.63</v>
      </c>
      <c r="V58" s="11">
        <f t="shared" si="6"/>
        <v>141.94888888888892</v>
      </c>
      <c r="W58" s="11">
        <f t="shared" si="9"/>
        <v>122.41250000000001</v>
      </c>
    </row>
    <row r="59" spans="1:23" x14ac:dyDescent="0.3">
      <c r="A59" s="8">
        <f t="shared" si="7"/>
        <v>8</v>
      </c>
      <c r="B59" s="4">
        <v>38565</v>
      </c>
      <c r="C59" s="7">
        <v>122.5</v>
      </c>
      <c r="D59" s="11">
        <f t="shared" si="8"/>
        <v>92.337894736842102</v>
      </c>
      <c r="E59">
        <v>2</v>
      </c>
      <c r="G59" s="11">
        <f t="shared" si="10"/>
        <v>45.191428571428567</v>
      </c>
      <c r="H59">
        <v>151</v>
      </c>
      <c r="I59" s="7">
        <v>89.28</v>
      </c>
      <c r="J59" s="11">
        <f t="shared" si="1"/>
        <v>89.390555555555537</v>
      </c>
      <c r="K59">
        <v>1</v>
      </c>
      <c r="L59" s="7">
        <v>305.26</v>
      </c>
      <c r="M59" s="11">
        <f t="shared" si="2"/>
        <v>417.0510526315789</v>
      </c>
      <c r="N59">
        <v>2</v>
      </c>
      <c r="O59" s="7">
        <v>178.42</v>
      </c>
      <c r="P59" s="11">
        <f t="shared" si="3"/>
        <v>208.76473684210529</v>
      </c>
      <c r="Q59">
        <v>77</v>
      </c>
      <c r="R59" s="15">
        <v>18.649999999999999</v>
      </c>
      <c r="S59" s="11">
        <f t="shared" si="4"/>
        <v>39.715789473684218</v>
      </c>
      <c r="T59" s="8">
        <v>1</v>
      </c>
      <c r="U59" s="8">
        <f t="shared" si="11"/>
        <v>89.139999999999986</v>
      </c>
      <c r="V59" s="11">
        <f t="shared" si="6"/>
        <v>118.48611111111111</v>
      </c>
      <c r="W59" s="11">
        <f t="shared" si="9"/>
        <v>124.42333333333333</v>
      </c>
    </row>
    <row r="60" spans="1:23" x14ac:dyDescent="0.3">
      <c r="A60" s="8">
        <f t="shared" si="7"/>
        <v>9</v>
      </c>
      <c r="B60" s="4">
        <v>38596</v>
      </c>
      <c r="C60" s="7">
        <v>119.46</v>
      </c>
      <c r="D60" s="11">
        <f t="shared" si="8"/>
        <v>72.209473684210522</v>
      </c>
      <c r="E60">
        <v>2</v>
      </c>
      <c r="G60" s="11">
        <f t="shared" si="10"/>
        <v>44.037692307692296</v>
      </c>
      <c r="H60">
        <v>151</v>
      </c>
      <c r="I60" s="7">
        <v>64.319999999999993</v>
      </c>
      <c r="J60" s="11">
        <f t="shared" si="1"/>
        <v>64.317222222222213</v>
      </c>
      <c r="K60">
        <v>1</v>
      </c>
      <c r="L60" s="7">
        <v>226.63</v>
      </c>
      <c r="M60" s="11">
        <f t="shared" si="2"/>
        <v>300.97526315789474</v>
      </c>
      <c r="N60">
        <v>2</v>
      </c>
      <c r="O60" s="7">
        <v>150.26</v>
      </c>
      <c r="P60" s="11">
        <f t="shared" si="3"/>
        <v>173.37368421052631</v>
      </c>
      <c r="Q60">
        <v>77</v>
      </c>
      <c r="R60" s="15">
        <v>17.14</v>
      </c>
      <c r="S60" s="11">
        <f t="shared" si="4"/>
        <v>68.976315789473688</v>
      </c>
      <c r="T60" s="8">
        <v>1</v>
      </c>
      <c r="U60" s="8">
        <f t="shared" si="11"/>
        <v>85.94</v>
      </c>
      <c r="V60" s="11">
        <f t="shared" si="6"/>
        <v>108.505</v>
      </c>
      <c r="W60" s="11">
        <f t="shared" si="9"/>
        <v>126.21833333333335</v>
      </c>
    </row>
    <row r="61" spans="1:23" x14ac:dyDescent="0.3">
      <c r="A61" s="8">
        <f t="shared" si="7"/>
        <v>10</v>
      </c>
      <c r="B61" s="4">
        <v>38626</v>
      </c>
      <c r="C61" s="7">
        <v>114.91</v>
      </c>
      <c r="D61" s="11">
        <f t="shared" si="8"/>
        <v>53.688421052631583</v>
      </c>
      <c r="E61">
        <v>2</v>
      </c>
      <c r="G61" s="11">
        <f t="shared" si="10"/>
        <v>38.246428571428574</v>
      </c>
      <c r="H61">
        <v>151</v>
      </c>
      <c r="I61" s="7">
        <v>42.6</v>
      </c>
      <c r="J61" s="11">
        <f t="shared" si="1"/>
        <v>43.578947368421062</v>
      </c>
      <c r="K61">
        <v>1</v>
      </c>
      <c r="L61" s="7">
        <v>200.59</v>
      </c>
      <c r="M61" s="11">
        <f t="shared" si="2"/>
        <v>237.62421052631578</v>
      </c>
      <c r="N61">
        <v>2</v>
      </c>
      <c r="O61" s="7">
        <v>124.84</v>
      </c>
      <c r="P61" s="11">
        <f t="shared" si="3"/>
        <v>143.08473684210523</v>
      </c>
      <c r="Q61">
        <v>77</v>
      </c>
      <c r="R61" s="15">
        <v>20.18</v>
      </c>
      <c r="S61" s="11">
        <f t="shared" si="4"/>
        <v>56.208947368421043</v>
      </c>
      <c r="T61" s="8">
        <v>1</v>
      </c>
      <c r="U61" s="8">
        <f t="shared" si="11"/>
        <v>82.240000000000009</v>
      </c>
      <c r="V61" s="11">
        <f t="shared" si="6"/>
        <v>99.505789473684189</v>
      </c>
      <c r="W61" s="11">
        <f t="shared" si="9"/>
        <v>127.56166666666665</v>
      </c>
    </row>
    <row r="62" spans="1:23" x14ac:dyDescent="0.3">
      <c r="A62" s="8">
        <f t="shared" si="7"/>
        <v>11</v>
      </c>
      <c r="B62" s="4">
        <v>38657</v>
      </c>
      <c r="C62" s="7">
        <v>130.43</v>
      </c>
      <c r="D62" s="11">
        <f t="shared" si="8"/>
        <v>65.729473684210518</v>
      </c>
      <c r="E62">
        <v>2</v>
      </c>
      <c r="G62" s="11">
        <f t="shared" si="10"/>
        <v>31.170666666666669</v>
      </c>
      <c r="H62">
        <v>151</v>
      </c>
      <c r="I62" s="7">
        <v>46.48</v>
      </c>
      <c r="J62" s="11">
        <f t="shared" si="1"/>
        <v>42.795263157894738</v>
      </c>
      <c r="K62">
        <v>1</v>
      </c>
      <c r="L62" s="7">
        <v>176.16</v>
      </c>
      <c r="M62" s="11">
        <f t="shared" si="2"/>
        <v>234.77473684210523</v>
      </c>
      <c r="N62">
        <v>2</v>
      </c>
      <c r="O62" s="7">
        <v>129.72999999999999</v>
      </c>
      <c r="P62" s="11">
        <f t="shared" si="3"/>
        <v>138.83421052631579</v>
      </c>
      <c r="Q62">
        <v>2</v>
      </c>
      <c r="R62" s="15">
        <v>26.47</v>
      </c>
      <c r="S62" s="11">
        <f t="shared" si="4"/>
        <v>58.608421052631591</v>
      </c>
      <c r="T62" s="8">
        <v>1</v>
      </c>
      <c r="U62" s="8">
        <f t="shared" si="11"/>
        <v>83.25</v>
      </c>
      <c r="V62" s="11">
        <f t="shared" si="6"/>
        <v>96.038947368421077</v>
      </c>
      <c r="W62" s="11">
        <f t="shared" si="9"/>
        <v>128.63999999999999</v>
      </c>
    </row>
    <row r="63" spans="1:23" x14ac:dyDescent="0.3">
      <c r="A63" s="8">
        <f t="shared" si="7"/>
        <v>12</v>
      </c>
      <c r="B63" s="4">
        <v>38687</v>
      </c>
      <c r="C63" s="7">
        <v>134.96</v>
      </c>
      <c r="D63" s="11">
        <f t="shared" si="8"/>
        <v>164.87789473684211</v>
      </c>
      <c r="E63">
        <v>2</v>
      </c>
      <c r="G63" s="11">
        <f t="shared" si="10"/>
        <v>29.229375000000001</v>
      </c>
      <c r="H63">
        <v>151</v>
      </c>
      <c r="I63" s="7">
        <v>73.989999999999995</v>
      </c>
      <c r="J63" s="11">
        <f t="shared" si="1"/>
        <v>123.60999999999999</v>
      </c>
      <c r="K63">
        <v>1</v>
      </c>
      <c r="L63" s="7">
        <v>246.32</v>
      </c>
      <c r="M63" s="11">
        <f t="shared" si="2"/>
        <v>340.84421052631575</v>
      </c>
      <c r="N63">
        <v>2</v>
      </c>
      <c r="O63" s="7">
        <v>167.25</v>
      </c>
      <c r="P63" s="11">
        <f t="shared" si="3"/>
        <v>216.46631578947367</v>
      </c>
      <c r="Q63">
        <v>2</v>
      </c>
      <c r="R63" s="15">
        <v>32.44</v>
      </c>
      <c r="S63" s="11">
        <f t="shared" si="4"/>
        <v>129.68894736842105</v>
      </c>
      <c r="T63" s="8">
        <v>1</v>
      </c>
      <c r="U63" s="8">
        <f t="shared" si="11"/>
        <v>93.26</v>
      </c>
      <c r="V63" s="11">
        <f t="shared" si="6"/>
        <v>92.856315789473669</v>
      </c>
      <c r="W63" s="11">
        <f t="shared" si="9"/>
        <v>130.36666666666667</v>
      </c>
    </row>
    <row r="64" spans="1:23" x14ac:dyDescent="0.3">
      <c r="A64" s="8">
        <f t="shared" si="7"/>
        <v>1</v>
      </c>
      <c r="B64" s="4">
        <v>38718</v>
      </c>
      <c r="C64" s="7">
        <v>167.31</v>
      </c>
      <c r="D64" s="11">
        <f t="shared" si="8"/>
        <v>262.35600000000005</v>
      </c>
      <c r="E64">
        <v>2</v>
      </c>
      <c r="G64" s="11">
        <f t="shared" si="10"/>
        <v>30.8</v>
      </c>
      <c r="H64">
        <v>151</v>
      </c>
      <c r="I64" s="7">
        <v>142.13</v>
      </c>
      <c r="J64" s="11">
        <f t="shared" si="1"/>
        <v>241.63399999999996</v>
      </c>
      <c r="K64">
        <v>1</v>
      </c>
      <c r="L64" s="7">
        <v>385.68</v>
      </c>
      <c r="M64" s="11">
        <f t="shared" si="2"/>
        <v>671.20894736842092</v>
      </c>
      <c r="N64">
        <v>2</v>
      </c>
      <c r="O64" s="7">
        <v>244.15</v>
      </c>
      <c r="P64" s="11">
        <f t="shared" si="3"/>
        <v>362.94894736842105</v>
      </c>
      <c r="Q64">
        <v>2</v>
      </c>
      <c r="R64" s="15">
        <v>44.38</v>
      </c>
      <c r="S64" s="11">
        <f t="shared" si="4"/>
        <v>90.957368421052621</v>
      </c>
      <c r="T64" s="8">
        <v>1</v>
      </c>
      <c r="U64" s="8">
        <f t="shared" si="11"/>
        <v>102.02000000000001</v>
      </c>
      <c r="V64" s="11">
        <f t="shared" si="6"/>
        <v>126.33499999999998</v>
      </c>
      <c r="W64" s="11">
        <f t="shared" si="9"/>
        <v>125.22333333333334</v>
      </c>
    </row>
    <row r="65" spans="1:23" x14ac:dyDescent="0.3">
      <c r="A65" s="8">
        <f t="shared" si="7"/>
        <v>2</v>
      </c>
      <c r="B65" s="4">
        <v>38749</v>
      </c>
      <c r="C65" s="7">
        <v>116.17</v>
      </c>
      <c r="D65" s="11">
        <f t="shared" si="8"/>
        <v>328.9663157894737</v>
      </c>
      <c r="E65">
        <v>2</v>
      </c>
      <c r="G65" s="11">
        <f t="shared" si="10"/>
        <v>33.1875</v>
      </c>
      <c r="H65">
        <v>151</v>
      </c>
      <c r="I65" s="7">
        <v>179.87</v>
      </c>
      <c r="J65" s="11">
        <f t="shared" si="1"/>
        <v>334.30099999999993</v>
      </c>
      <c r="K65">
        <v>1</v>
      </c>
      <c r="L65" s="7">
        <v>707.7</v>
      </c>
      <c r="M65" s="11">
        <f t="shared" si="2"/>
        <v>1650.3500000000001</v>
      </c>
      <c r="N65">
        <v>2</v>
      </c>
      <c r="O65" s="7">
        <v>312.08999999999997</v>
      </c>
      <c r="P65" s="11">
        <f t="shared" si="3"/>
        <v>463.72789473684207</v>
      </c>
      <c r="Q65">
        <v>2</v>
      </c>
      <c r="R65" s="15">
        <v>92.07</v>
      </c>
      <c r="S65" s="11">
        <f t="shared" si="4"/>
        <v>109.05882352941175</v>
      </c>
      <c r="T65" s="8">
        <v>1</v>
      </c>
      <c r="U65" s="8">
        <f t="shared" si="11"/>
        <v>132.21999999999997</v>
      </c>
      <c r="V65" s="11">
        <f t="shared" si="6"/>
        <v>134.9257894736842</v>
      </c>
      <c r="W65" s="11">
        <f t="shared" si="9"/>
        <v>123.00583333333333</v>
      </c>
    </row>
    <row r="66" spans="1:23" x14ac:dyDescent="0.3">
      <c r="A66" s="8">
        <f t="shared" si="7"/>
        <v>3</v>
      </c>
      <c r="B66" s="4">
        <v>38777</v>
      </c>
      <c r="C66" s="7">
        <v>176.26</v>
      </c>
      <c r="D66" s="11">
        <f t="shared" si="8"/>
        <v>469.14</v>
      </c>
      <c r="E66">
        <v>2</v>
      </c>
      <c r="G66" s="11">
        <f t="shared" si="10"/>
        <v>37.004666666666672</v>
      </c>
      <c r="H66">
        <v>151</v>
      </c>
      <c r="I66" s="7">
        <v>235.03</v>
      </c>
      <c r="J66" s="11">
        <f t="shared" si="1"/>
        <v>431.04200000000003</v>
      </c>
      <c r="K66">
        <v>1</v>
      </c>
      <c r="L66" s="7">
        <v>1556.76</v>
      </c>
      <c r="M66" s="11">
        <f t="shared" si="2"/>
        <v>3124.677368421053</v>
      </c>
      <c r="N66">
        <v>2</v>
      </c>
      <c r="O66" s="7">
        <v>375.6</v>
      </c>
      <c r="P66" s="11">
        <f t="shared" si="3"/>
        <v>565.95157894736838</v>
      </c>
      <c r="Q66">
        <v>2</v>
      </c>
      <c r="R66" s="15">
        <v>905.6</v>
      </c>
      <c r="S66" s="11">
        <f t="shared" si="4"/>
        <v>223.16157894736844</v>
      </c>
      <c r="T66" s="8">
        <v>1</v>
      </c>
      <c r="U66" s="8">
        <f t="shared" si="11"/>
        <v>140.57000000000002</v>
      </c>
      <c r="V66" s="11">
        <f t="shared" si="6"/>
        <v>138.05736842105264</v>
      </c>
      <c r="W66" s="11">
        <f t="shared" si="9"/>
        <v>120.84166666666668</v>
      </c>
    </row>
    <row r="67" spans="1:23" x14ac:dyDescent="0.3">
      <c r="A67" s="8">
        <f t="shared" si="7"/>
        <v>4</v>
      </c>
      <c r="B67" s="4">
        <v>38808</v>
      </c>
      <c r="C67" s="7">
        <v>535.32000000000005</v>
      </c>
      <c r="D67" s="11">
        <f t="shared" si="8"/>
        <v>589.29650000000015</v>
      </c>
      <c r="E67">
        <v>2</v>
      </c>
      <c r="G67" s="11">
        <f t="shared" si="10"/>
        <v>37.96</v>
      </c>
      <c r="H67">
        <v>151</v>
      </c>
      <c r="I67" s="7">
        <v>333.07</v>
      </c>
      <c r="J67" s="11">
        <f t="shared" si="1"/>
        <v>483.73894736842101</v>
      </c>
      <c r="K67">
        <v>1</v>
      </c>
      <c r="L67" s="7">
        <v>3285.81</v>
      </c>
      <c r="M67" s="11">
        <f t="shared" si="2"/>
        <v>3744.6268421052641</v>
      </c>
      <c r="N67">
        <v>2</v>
      </c>
      <c r="O67" s="7">
        <v>486.9</v>
      </c>
      <c r="P67" s="11">
        <f t="shared" si="3"/>
        <v>682.00947368421055</v>
      </c>
      <c r="Q67">
        <v>2</v>
      </c>
      <c r="R67" s="15">
        <v>1035.52</v>
      </c>
      <c r="S67" s="11">
        <f t="shared" si="4"/>
        <v>222.48684210526312</v>
      </c>
      <c r="T67" s="8">
        <v>1</v>
      </c>
      <c r="U67" s="8">
        <f t="shared" si="11"/>
        <v>153.82999999999998</v>
      </c>
      <c r="V67" s="11">
        <f t="shared" si="6"/>
        <v>198.27052631578945</v>
      </c>
      <c r="W67" s="11">
        <f t="shared" si="9"/>
        <v>116.03416666666665</v>
      </c>
    </row>
    <row r="68" spans="1:23" x14ac:dyDescent="0.3">
      <c r="A68" s="8">
        <f t="shared" si="7"/>
        <v>5</v>
      </c>
      <c r="B68" s="4">
        <v>38838</v>
      </c>
      <c r="C68" s="7">
        <v>416.33</v>
      </c>
      <c r="D68" s="11">
        <f t="shared" ref="D68:D131" si="12">AVERAGEIF($A$4:$A$236,$A68,C$4:C$236)</f>
        <v>310.70526315789482</v>
      </c>
      <c r="E68">
        <v>2</v>
      </c>
      <c r="G68" s="11">
        <f t="shared" si="10"/>
        <v>38.770000000000003</v>
      </c>
      <c r="H68">
        <v>151</v>
      </c>
      <c r="I68" s="7">
        <v>343.41</v>
      </c>
      <c r="J68" s="11">
        <f t="shared" ref="J68:J131" si="13">AVERAGEIF($A$4:$A$236,$A68,I$4:I$236)</f>
        <v>306.97578947368419</v>
      </c>
      <c r="K68">
        <v>1</v>
      </c>
      <c r="L68" s="7">
        <v>2783.07</v>
      </c>
      <c r="M68" s="11">
        <f t="shared" ref="M68:M131" si="14">AVERAGEIF($A$4:$A$236,$A68,L$4:L$236)</f>
        <v>2961.8094736842104</v>
      </c>
      <c r="N68">
        <v>2</v>
      </c>
      <c r="O68" s="7">
        <v>523.26</v>
      </c>
      <c r="P68" s="11">
        <f t="shared" ref="P68:P131" si="15">AVERAGEIF($A$4:$A$236,$A68,O$4:O$236)</f>
        <v>530.60473684210535</v>
      </c>
      <c r="Q68">
        <v>2</v>
      </c>
      <c r="R68" s="15">
        <v>611.84</v>
      </c>
      <c r="S68" s="11">
        <f t="shared" ref="S68:S131" si="16">AVERAGEIF($A$4:$A$236,$A68,R$4:R$236)</f>
        <v>164.41473684210524</v>
      </c>
      <c r="T68" s="8">
        <v>1</v>
      </c>
      <c r="U68" s="8">
        <f t="shared" si="11"/>
        <v>179.84999999999997</v>
      </c>
      <c r="V68" s="11">
        <f t="shared" ref="V68:V131" si="17">AVERAGEIF($A$4:$A$236,$A68,U$4:U$236)</f>
        <v>223.628947368421</v>
      </c>
      <c r="W68" s="11">
        <f t="shared" si="9"/>
        <v>128.26083333333335</v>
      </c>
    </row>
    <row r="69" spans="1:23" x14ac:dyDescent="0.3">
      <c r="A69" s="8">
        <f t="shared" ref="A69:A132" si="18">MONTH(B69)</f>
        <v>6</v>
      </c>
      <c r="B69" s="4">
        <v>38869</v>
      </c>
      <c r="C69" s="7">
        <v>145.41</v>
      </c>
      <c r="D69" s="11">
        <f t="shared" si="12"/>
        <v>145.28526315789475</v>
      </c>
      <c r="E69">
        <v>2</v>
      </c>
      <c r="G69" s="11">
        <f t="shared" si="10"/>
        <v>40.809285714285714</v>
      </c>
      <c r="H69">
        <v>151</v>
      </c>
      <c r="I69" s="7">
        <v>179.98</v>
      </c>
      <c r="J69" s="11">
        <f t="shared" si="13"/>
        <v>158.42111111111114</v>
      </c>
      <c r="K69">
        <v>1</v>
      </c>
      <c r="L69" s="7">
        <v>1527.03</v>
      </c>
      <c r="M69" s="11">
        <f t="shared" si="14"/>
        <v>1490.274210526316</v>
      </c>
      <c r="N69">
        <v>2</v>
      </c>
      <c r="O69" s="7">
        <v>381.98</v>
      </c>
      <c r="P69" s="11">
        <f t="shared" si="15"/>
        <v>340.09052631578948</v>
      </c>
      <c r="Q69">
        <v>2</v>
      </c>
      <c r="R69" s="15">
        <v>419.92</v>
      </c>
      <c r="S69" s="11">
        <f t="shared" si="16"/>
        <v>102.51894736842105</v>
      </c>
      <c r="T69" s="8">
        <v>1</v>
      </c>
      <c r="U69" s="8">
        <f t="shared" si="11"/>
        <v>202.00000000000003</v>
      </c>
      <c r="V69" s="11">
        <f t="shared" si="17"/>
        <v>179.35777777777776</v>
      </c>
      <c r="W69" s="11">
        <f t="shared" ref="W69:W132" si="19">AVERAGE(U69:U80)</f>
        <v>134.11666666666667</v>
      </c>
    </row>
    <row r="70" spans="1:23" x14ac:dyDescent="0.3">
      <c r="A70" s="8">
        <f t="shared" si="18"/>
        <v>7</v>
      </c>
      <c r="B70" s="4">
        <v>38899</v>
      </c>
      <c r="C70" s="7">
        <v>105.24</v>
      </c>
      <c r="D70" s="11">
        <f t="shared" si="12"/>
        <v>111.3</v>
      </c>
      <c r="E70">
        <v>2</v>
      </c>
      <c r="G70" s="11">
        <f t="shared" si="10"/>
        <v>43.05</v>
      </c>
      <c r="H70">
        <v>151</v>
      </c>
      <c r="I70" s="7">
        <v>118.74</v>
      </c>
      <c r="J70" s="11">
        <f t="shared" si="13"/>
        <v>111.83722222222222</v>
      </c>
      <c r="K70">
        <v>1</v>
      </c>
      <c r="L70" s="7">
        <v>633.9</v>
      </c>
      <c r="M70" s="11">
        <f t="shared" si="14"/>
        <v>693.74263157894745</v>
      </c>
      <c r="N70">
        <v>2</v>
      </c>
      <c r="O70" s="7">
        <v>267.5</v>
      </c>
      <c r="P70" s="11">
        <f t="shared" si="15"/>
        <v>256.32526315789482</v>
      </c>
      <c r="Q70">
        <v>2</v>
      </c>
      <c r="R70" s="15">
        <v>189.13</v>
      </c>
      <c r="S70" s="11">
        <f t="shared" si="16"/>
        <v>63.705789473684213</v>
      </c>
      <c r="T70" s="8">
        <v>1</v>
      </c>
      <c r="U70" s="8">
        <f t="shared" si="11"/>
        <v>148.76</v>
      </c>
      <c r="V70" s="11">
        <f t="shared" si="17"/>
        <v>141.94888888888892</v>
      </c>
      <c r="W70" s="11">
        <f t="shared" si="19"/>
        <v>135.57666666666668</v>
      </c>
    </row>
    <row r="71" spans="1:23" x14ac:dyDescent="0.3">
      <c r="A71" s="8">
        <f t="shared" si="18"/>
        <v>8</v>
      </c>
      <c r="B71" s="4">
        <v>38930</v>
      </c>
      <c r="C71" s="7">
        <v>80.81</v>
      </c>
      <c r="D71" s="11">
        <f t="shared" si="12"/>
        <v>92.337894736842102</v>
      </c>
      <c r="E71">
        <v>2</v>
      </c>
      <c r="G71" s="11">
        <f t="shared" si="10"/>
        <v>45.191428571428567</v>
      </c>
      <c r="H71">
        <v>151</v>
      </c>
      <c r="I71" s="7">
        <v>97.15</v>
      </c>
      <c r="J71" s="11">
        <f t="shared" si="13"/>
        <v>89.390555555555537</v>
      </c>
      <c r="K71">
        <v>1</v>
      </c>
      <c r="L71" s="7">
        <v>351.86</v>
      </c>
      <c r="M71" s="11">
        <f t="shared" si="14"/>
        <v>417.0510526315789</v>
      </c>
      <c r="N71">
        <v>2</v>
      </c>
      <c r="O71" s="7">
        <v>207.83</v>
      </c>
      <c r="P71" s="11">
        <f t="shared" si="15"/>
        <v>208.76473684210529</v>
      </c>
      <c r="Q71">
        <v>2</v>
      </c>
      <c r="R71" s="15">
        <v>105.65</v>
      </c>
      <c r="S71" s="11">
        <f t="shared" si="16"/>
        <v>39.715789473684218</v>
      </c>
      <c r="T71" s="8">
        <v>1</v>
      </c>
      <c r="U71" s="8">
        <f t="shared" si="11"/>
        <v>110.68</v>
      </c>
      <c r="V71" s="11">
        <f t="shared" si="17"/>
        <v>118.48611111111111</v>
      </c>
      <c r="W71" s="11">
        <f t="shared" si="19"/>
        <v>139.59</v>
      </c>
    </row>
    <row r="72" spans="1:23" x14ac:dyDescent="0.3">
      <c r="A72" s="8">
        <f t="shared" si="18"/>
        <v>9</v>
      </c>
      <c r="B72" s="4">
        <v>38961</v>
      </c>
      <c r="C72" s="7">
        <v>63.15</v>
      </c>
      <c r="D72" s="11">
        <f t="shared" si="12"/>
        <v>72.209473684210522</v>
      </c>
      <c r="E72">
        <v>2</v>
      </c>
      <c r="G72" s="11">
        <f t="shared" si="10"/>
        <v>44.037692307692296</v>
      </c>
      <c r="H72">
        <v>151</v>
      </c>
      <c r="I72" s="7">
        <v>71.760000000000005</v>
      </c>
      <c r="J72" s="11">
        <f t="shared" si="13"/>
        <v>64.317222222222213</v>
      </c>
      <c r="K72">
        <v>1</v>
      </c>
      <c r="L72" s="7">
        <v>249.39</v>
      </c>
      <c r="M72" s="11">
        <f t="shared" si="14"/>
        <v>300.97526315789474</v>
      </c>
      <c r="N72">
        <v>2</v>
      </c>
      <c r="O72" s="7">
        <v>173.82</v>
      </c>
      <c r="P72" s="11">
        <f t="shared" si="15"/>
        <v>173.37368421052631</v>
      </c>
      <c r="Q72">
        <v>2</v>
      </c>
      <c r="R72" s="15">
        <v>70.33</v>
      </c>
      <c r="S72" s="11">
        <f t="shared" si="16"/>
        <v>68.976315789473688</v>
      </c>
      <c r="T72" s="8">
        <v>1</v>
      </c>
      <c r="U72" s="8">
        <f t="shared" si="11"/>
        <v>102.05999999999999</v>
      </c>
      <c r="V72" s="11">
        <f t="shared" si="17"/>
        <v>108.505</v>
      </c>
      <c r="W72" s="11">
        <f t="shared" si="19"/>
        <v>146.15416666666667</v>
      </c>
    </row>
    <row r="73" spans="1:23" x14ac:dyDescent="0.3">
      <c r="A73" s="8">
        <f t="shared" si="18"/>
        <v>10</v>
      </c>
      <c r="B73" s="4">
        <v>38991</v>
      </c>
      <c r="C73" s="7">
        <v>58.4</v>
      </c>
      <c r="D73" s="11">
        <f t="shared" si="12"/>
        <v>53.688421052631583</v>
      </c>
      <c r="E73">
        <v>2</v>
      </c>
      <c r="F73" s="7">
        <v>36.21</v>
      </c>
      <c r="G73" s="11">
        <f t="shared" si="10"/>
        <v>38.246428571428574</v>
      </c>
      <c r="H73">
        <v>2</v>
      </c>
      <c r="I73" s="7">
        <v>55.43</v>
      </c>
      <c r="J73" s="11">
        <f t="shared" si="13"/>
        <v>43.578947368421062</v>
      </c>
      <c r="K73">
        <v>1</v>
      </c>
      <c r="L73" s="7">
        <v>207.51</v>
      </c>
      <c r="M73" s="11">
        <f t="shared" si="14"/>
        <v>237.62421052631578</v>
      </c>
      <c r="N73">
        <v>2</v>
      </c>
      <c r="O73" s="7">
        <v>150.61000000000001</v>
      </c>
      <c r="P73" s="11">
        <f t="shared" si="15"/>
        <v>143.08473684210523</v>
      </c>
      <c r="Q73">
        <v>2</v>
      </c>
      <c r="R73" s="15">
        <v>92.12</v>
      </c>
      <c r="S73" s="11">
        <f t="shared" si="16"/>
        <v>56.208947368421043</v>
      </c>
      <c r="T73" s="8">
        <v>1</v>
      </c>
      <c r="U73" s="8">
        <f t="shared" si="11"/>
        <v>95.18</v>
      </c>
      <c r="V73" s="11">
        <f t="shared" si="17"/>
        <v>99.505789473684189</v>
      </c>
      <c r="W73" s="11">
        <f t="shared" si="19"/>
        <v>151.50416666666669</v>
      </c>
    </row>
    <row r="74" spans="1:23" x14ac:dyDescent="0.3">
      <c r="A74" s="8">
        <f t="shared" si="18"/>
        <v>11</v>
      </c>
      <c r="B74" s="4">
        <v>39022</v>
      </c>
      <c r="C74" s="7">
        <v>101.93</v>
      </c>
      <c r="D74" s="11">
        <f t="shared" si="12"/>
        <v>65.729473684210518</v>
      </c>
      <c r="E74">
        <v>2</v>
      </c>
      <c r="F74" s="7">
        <v>35.81</v>
      </c>
      <c r="G74" s="11">
        <f t="shared" si="10"/>
        <v>31.170666666666669</v>
      </c>
      <c r="H74">
        <v>2</v>
      </c>
      <c r="I74" s="7">
        <v>82.4</v>
      </c>
      <c r="J74" s="11">
        <f t="shared" si="13"/>
        <v>42.795263157894738</v>
      </c>
      <c r="K74">
        <v>1</v>
      </c>
      <c r="L74" s="7">
        <v>235.53</v>
      </c>
      <c r="M74" s="11">
        <f t="shared" si="14"/>
        <v>234.77473684210523</v>
      </c>
      <c r="N74">
        <v>2</v>
      </c>
      <c r="O74" s="7">
        <v>186.37</v>
      </c>
      <c r="P74" s="11">
        <f t="shared" si="15"/>
        <v>138.83421052631579</v>
      </c>
      <c r="Q74">
        <v>2</v>
      </c>
      <c r="R74" s="15">
        <v>155.19</v>
      </c>
      <c r="S74" s="11">
        <f t="shared" si="16"/>
        <v>58.608421052631591</v>
      </c>
      <c r="T74" s="8">
        <v>1</v>
      </c>
      <c r="U74" s="8">
        <f t="shared" si="11"/>
        <v>103.97</v>
      </c>
      <c r="V74" s="11">
        <f t="shared" si="17"/>
        <v>96.038947368421077</v>
      </c>
      <c r="W74" s="11">
        <f t="shared" si="19"/>
        <v>155.13750000000002</v>
      </c>
    </row>
    <row r="75" spans="1:23" x14ac:dyDescent="0.3">
      <c r="A75" s="8">
        <f t="shared" si="18"/>
        <v>12</v>
      </c>
      <c r="B75" s="4">
        <v>39052</v>
      </c>
      <c r="C75" s="7">
        <v>353.85</v>
      </c>
      <c r="D75" s="11">
        <f t="shared" si="12"/>
        <v>164.87789473684211</v>
      </c>
      <c r="E75">
        <v>2</v>
      </c>
      <c r="F75" s="7">
        <v>35.270000000000003</v>
      </c>
      <c r="G75" s="11">
        <f t="shared" si="10"/>
        <v>29.229375000000001</v>
      </c>
      <c r="H75">
        <v>2</v>
      </c>
      <c r="I75" s="7">
        <v>258.26</v>
      </c>
      <c r="J75" s="11">
        <f t="shared" si="13"/>
        <v>123.60999999999999</v>
      </c>
      <c r="K75">
        <v>1</v>
      </c>
      <c r="L75" s="7">
        <v>351.23</v>
      </c>
      <c r="M75" s="11">
        <f t="shared" si="14"/>
        <v>340.84421052631575</v>
      </c>
      <c r="N75">
        <v>2</v>
      </c>
      <c r="O75" s="7">
        <v>289.8</v>
      </c>
      <c r="P75" s="11">
        <f t="shared" si="15"/>
        <v>216.46631578947367</v>
      </c>
      <c r="Q75">
        <v>2</v>
      </c>
      <c r="R75" s="15">
        <v>412.97</v>
      </c>
      <c r="S75" s="11">
        <f t="shared" si="16"/>
        <v>129.68894736842105</v>
      </c>
      <c r="T75" s="8">
        <v>1</v>
      </c>
      <c r="U75" s="8">
        <f t="shared" si="11"/>
        <v>31.54000000000002</v>
      </c>
      <c r="V75" s="11">
        <f t="shared" si="17"/>
        <v>92.856315789473669</v>
      </c>
      <c r="W75" s="11">
        <f t="shared" si="19"/>
        <v>155.5866666666667</v>
      </c>
    </row>
    <row r="76" spans="1:23" x14ac:dyDescent="0.3">
      <c r="A76" s="8">
        <f t="shared" si="18"/>
        <v>1</v>
      </c>
      <c r="B76" s="4">
        <v>39083</v>
      </c>
      <c r="C76" s="7">
        <v>545.16</v>
      </c>
      <c r="D76" s="11">
        <f t="shared" si="12"/>
        <v>262.35600000000005</v>
      </c>
      <c r="E76">
        <v>2</v>
      </c>
      <c r="F76" s="7">
        <v>35.380000000000003</v>
      </c>
      <c r="G76" s="11">
        <f t="shared" si="10"/>
        <v>30.8</v>
      </c>
      <c r="H76">
        <v>2</v>
      </c>
      <c r="I76" s="7">
        <v>422.45</v>
      </c>
      <c r="J76" s="11">
        <f t="shared" si="13"/>
        <v>241.63399999999996</v>
      </c>
      <c r="K76">
        <v>1</v>
      </c>
      <c r="L76" s="7">
        <v>719.79</v>
      </c>
      <c r="M76" s="11">
        <f t="shared" si="14"/>
        <v>671.20894736842092</v>
      </c>
      <c r="N76">
        <v>2</v>
      </c>
      <c r="O76" s="7">
        <v>497.86</v>
      </c>
      <c r="P76" s="11">
        <f t="shared" si="15"/>
        <v>362.94894736842105</v>
      </c>
      <c r="Q76">
        <v>2</v>
      </c>
      <c r="R76" s="15">
        <v>307.95999999999998</v>
      </c>
      <c r="S76" s="11">
        <f t="shared" si="16"/>
        <v>90.957368421052621</v>
      </c>
      <c r="T76" s="8">
        <v>1</v>
      </c>
      <c r="U76" s="8">
        <f t="shared" si="11"/>
        <v>75.410000000000025</v>
      </c>
      <c r="V76" s="11">
        <f t="shared" si="17"/>
        <v>126.33499999999998</v>
      </c>
      <c r="W76" s="11">
        <f t="shared" si="19"/>
        <v>160.25333333333336</v>
      </c>
    </row>
    <row r="77" spans="1:23" x14ac:dyDescent="0.3">
      <c r="A77" s="8">
        <f t="shared" si="18"/>
        <v>2</v>
      </c>
      <c r="B77" s="4">
        <v>39114</v>
      </c>
      <c r="C77" s="7">
        <v>574</v>
      </c>
      <c r="D77" s="11">
        <f t="shared" si="12"/>
        <v>328.9663157894737</v>
      </c>
      <c r="E77">
        <v>2</v>
      </c>
      <c r="F77" s="7">
        <v>36.92</v>
      </c>
      <c r="G77" s="11">
        <f t="shared" si="10"/>
        <v>33.1875</v>
      </c>
      <c r="H77">
        <v>2</v>
      </c>
      <c r="I77" s="7">
        <v>403.83</v>
      </c>
      <c r="J77" s="11">
        <f t="shared" si="13"/>
        <v>334.30099999999993</v>
      </c>
      <c r="K77">
        <v>1</v>
      </c>
      <c r="L77" s="7">
        <v>4144.12</v>
      </c>
      <c r="M77" s="11">
        <f t="shared" si="14"/>
        <v>1650.3500000000001</v>
      </c>
      <c r="N77">
        <v>2</v>
      </c>
      <c r="O77" s="7">
        <v>510.08</v>
      </c>
      <c r="P77" s="11">
        <f t="shared" si="15"/>
        <v>463.72789473684207</v>
      </c>
      <c r="Q77">
        <v>2</v>
      </c>
      <c r="R77" s="15">
        <v>152.58000000000001</v>
      </c>
      <c r="S77" s="11">
        <f t="shared" si="16"/>
        <v>109.05882352941175</v>
      </c>
      <c r="T77" s="8">
        <v>1</v>
      </c>
      <c r="U77" s="8">
        <f t="shared" si="11"/>
        <v>106.25</v>
      </c>
      <c r="V77" s="11">
        <f t="shared" si="17"/>
        <v>134.9257894736842</v>
      </c>
      <c r="W77" s="11">
        <f t="shared" si="19"/>
        <v>163.56</v>
      </c>
    </row>
    <row r="78" spans="1:23" x14ac:dyDescent="0.3">
      <c r="A78" s="8">
        <f t="shared" si="18"/>
        <v>3</v>
      </c>
      <c r="B78" s="4">
        <v>39142</v>
      </c>
      <c r="C78" s="7">
        <v>535.72</v>
      </c>
      <c r="D78" s="11">
        <f t="shared" si="12"/>
        <v>469.14</v>
      </c>
      <c r="E78">
        <v>2</v>
      </c>
      <c r="F78" s="7">
        <v>37.630000000000003</v>
      </c>
      <c r="G78" s="11">
        <f t="shared" si="10"/>
        <v>37.004666666666672</v>
      </c>
      <c r="H78">
        <v>2</v>
      </c>
      <c r="I78" s="7">
        <v>559.5</v>
      </c>
      <c r="J78" s="11">
        <f t="shared" si="13"/>
        <v>431.04200000000003</v>
      </c>
      <c r="K78">
        <v>105</v>
      </c>
      <c r="L78" s="7">
        <v>5255.52</v>
      </c>
      <c r="M78" s="11">
        <f t="shared" si="14"/>
        <v>3124.677368421053</v>
      </c>
      <c r="N78">
        <v>2</v>
      </c>
      <c r="O78" s="7">
        <v>642.38</v>
      </c>
      <c r="P78" s="11">
        <f t="shared" si="15"/>
        <v>565.95157894736838</v>
      </c>
      <c r="Q78">
        <v>2</v>
      </c>
      <c r="R78" s="15">
        <v>12.32</v>
      </c>
      <c r="S78" s="11">
        <f t="shared" si="16"/>
        <v>223.16157894736844</v>
      </c>
      <c r="T78" s="8">
        <v>1</v>
      </c>
      <c r="U78" s="8">
        <f t="shared" si="11"/>
        <v>82.88</v>
      </c>
      <c r="V78" s="11">
        <f t="shared" si="17"/>
        <v>138.05736842105264</v>
      </c>
      <c r="W78" s="11">
        <f t="shared" si="19"/>
        <v>166.67666666666668</v>
      </c>
    </row>
    <row r="79" spans="1:23" x14ac:dyDescent="0.3">
      <c r="A79" s="8">
        <f t="shared" si="18"/>
        <v>4</v>
      </c>
      <c r="B79" s="4">
        <v>39173</v>
      </c>
      <c r="C79" s="7">
        <v>561.94000000000005</v>
      </c>
      <c r="D79" s="11">
        <f t="shared" si="12"/>
        <v>589.29650000000015</v>
      </c>
      <c r="E79">
        <v>2</v>
      </c>
      <c r="F79" s="7">
        <v>38.840000000000003</v>
      </c>
      <c r="G79" s="11">
        <f t="shared" si="10"/>
        <v>37.96</v>
      </c>
      <c r="H79">
        <v>2</v>
      </c>
      <c r="I79" s="7">
        <v>545.04</v>
      </c>
      <c r="J79" s="11">
        <f t="shared" si="13"/>
        <v>483.73894736842101</v>
      </c>
      <c r="K79">
        <v>1</v>
      </c>
      <c r="L79" s="7">
        <v>3850.71</v>
      </c>
      <c r="M79" s="11">
        <f t="shared" si="14"/>
        <v>3744.6268421052641</v>
      </c>
      <c r="N79">
        <v>2</v>
      </c>
      <c r="O79" s="7">
        <v>845.59</v>
      </c>
      <c r="P79" s="11">
        <f t="shared" si="15"/>
        <v>682.00947368421055</v>
      </c>
      <c r="Q79">
        <v>2</v>
      </c>
      <c r="R79" s="15">
        <v>8.2899999999999991</v>
      </c>
      <c r="S79" s="11">
        <f t="shared" si="16"/>
        <v>222.48684210526312</v>
      </c>
      <c r="T79" s="8">
        <v>1</v>
      </c>
      <c r="U79" s="8">
        <f t="shared" si="11"/>
        <v>300.55000000000007</v>
      </c>
      <c r="V79" s="11">
        <f t="shared" si="17"/>
        <v>198.27052631578945</v>
      </c>
      <c r="W79" s="11">
        <f t="shared" si="19"/>
        <v>170.53833333333333</v>
      </c>
    </row>
    <row r="80" spans="1:23" x14ac:dyDescent="0.3">
      <c r="A80" s="8">
        <f t="shared" si="18"/>
        <v>5</v>
      </c>
      <c r="B80" s="4">
        <v>39203</v>
      </c>
      <c r="C80" s="7">
        <v>355.27</v>
      </c>
      <c r="D80" s="11">
        <f t="shared" si="12"/>
        <v>310.70526315789482</v>
      </c>
      <c r="E80">
        <v>2</v>
      </c>
      <c r="F80" s="7">
        <v>37.270000000000003</v>
      </c>
      <c r="G80" s="11">
        <f t="shared" si="10"/>
        <v>38.770000000000003</v>
      </c>
      <c r="H80">
        <v>2</v>
      </c>
      <c r="I80" s="7">
        <v>246.8</v>
      </c>
      <c r="J80" s="11">
        <f t="shared" si="13"/>
        <v>306.97578947368419</v>
      </c>
      <c r="K80">
        <v>105</v>
      </c>
      <c r="L80" s="7">
        <v>2761.97</v>
      </c>
      <c r="M80" s="11">
        <f t="shared" si="14"/>
        <v>2961.8094736842104</v>
      </c>
      <c r="N80">
        <v>2</v>
      </c>
      <c r="O80" s="7">
        <v>496.92</v>
      </c>
      <c r="P80" s="11">
        <f t="shared" si="15"/>
        <v>530.60473684210535</v>
      </c>
      <c r="Q80">
        <v>2</v>
      </c>
      <c r="R80" s="15">
        <v>7.6</v>
      </c>
      <c r="S80" s="11">
        <f t="shared" si="16"/>
        <v>164.41473684210524</v>
      </c>
      <c r="T80" s="8">
        <v>1</v>
      </c>
      <c r="U80" s="8">
        <f t="shared" si="11"/>
        <v>250.12</v>
      </c>
      <c r="V80" s="11">
        <f t="shared" si="17"/>
        <v>223.628947368421</v>
      </c>
      <c r="W80" s="11">
        <f t="shared" si="19"/>
        <v>161.12083333333331</v>
      </c>
    </row>
    <row r="81" spans="1:23" x14ac:dyDescent="0.3">
      <c r="A81" s="8">
        <f t="shared" si="18"/>
        <v>6</v>
      </c>
      <c r="B81" s="4">
        <v>39234</v>
      </c>
      <c r="C81" s="7">
        <v>215.6</v>
      </c>
      <c r="D81" s="11">
        <f t="shared" si="12"/>
        <v>145.28526315789475</v>
      </c>
      <c r="E81">
        <v>2</v>
      </c>
      <c r="F81" s="7">
        <v>36.51</v>
      </c>
      <c r="G81" s="11">
        <f t="shared" ref="G81:G144" si="20">AVERAGEIF($A$4:$A$236,$A81,F$4:F$236)</f>
        <v>40.809285714285714</v>
      </c>
      <c r="H81">
        <v>2</v>
      </c>
      <c r="I81" s="7">
        <v>142.15</v>
      </c>
      <c r="J81" s="11">
        <f t="shared" si="13"/>
        <v>158.42111111111114</v>
      </c>
      <c r="K81">
        <v>105</v>
      </c>
      <c r="L81" s="7">
        <v>1434.52</v>
      </c>
      <c r="M81" s="11">
        <f t="shared" si="14"/>
        <v>1490.274210526316</v>
      </c>
      <c r="N81">
        <v>2</v>
      </c>
      <c r="O81" s="7">
        <v>361.67</v>
      </c>
      <c r="P81" s="11">
        <f t="shared" si="15"/>
        <v>340.09052631578948</v>
      </c>
      <c r="Q81">
        <v>2</v>
      </c>
      <c r="R81" s="15">
        <v>7.6</v>
      </c>
      <c r="S81" s="11">
        <f t="shared" si="16"/>
        <v>102.51894736842105</v>
      </c>
      <c r="T81" s="8">
        <v>1</v>
      </c>
      <c r="U81" s="8">
        <f t="shared" si="11"/>
        <v>219.52</v>
      </c>
      <c r="V81" s="11">
        <f t="shared" si="17"/>
        <v>179.35777777777776</v>
      </c>
      <c r="W81" s="11">
        <f t="shared" si="19"/>
        <v>157.56500000000003</v>
      </c>
    </row>
    <row r="82" spans="1:23" x14ac:dyDescent="0.3">
      <c r="A82" s="8">
        <f t="shared" si="18"/>
        <v>7</v>
      </c>
      <c r="B82" s="4">
        <v>39264</v>
      </c>
      <c r="C82" s="7">
        <v>179.18</v>
      </c>
      <c r="D82" s="11">
        <f t="shared" si="12"/>
        <v>111.3</v>
      </c>
      <c r="E82">
        <v>2</v>
      </c>
      <c r="F82" s="7">
        <v>35.86</v>
      </c>
      <c r="G82" s="11">
        <f t="shared" si="20"/>
        <v>43.05</v>
      </c>
      <c r="H82">
        <v>2</v>
      </c>
      <c r="I82" s="7">
        <v>112.75</v>
      </c>
      <c r="J82" s="11">
        <f t="shared" si="13"/>
        <v>111.83722222222222</v>
      </c>
      <c r="K82">
        <v>1</v>
      </c>
      <c r="L82" s="7">
        <v>735.62</v>
      </c>
      <c r="M82" s="11">
        <f t="shared" si="14"/>
        <v>693.74263157894745</v>
      </c>
      <c r="N82">
        <v>2</v>
      </c>
      <c r="O82" s="7">
        <v>309.67</v>
      </c>
      <c r="P82" s="11">
        <f t="shared" si="15"/>
        <v>256.32526315789482</v>
      </c>
      <c r="Q82">
        <v>2</v>
      </c>
      <c r="R82" s="15">
        <v>7.6</v>
      </c>
      <c r="S82" s="11">
        <f t="shared" si="16"/>
        <v>63.705789473684213</v>
      </c>
      <c r="T82" s="8">
        <v>1</v>
      </c>
      <c r="U82" s="8">
        <f t="shared" si="11"/>
        <v>196.92000000000002</v>
      </c>
      <c r="V82" s="11">
        <f t="shared" si="17"/>
        <v>141.94888888888892</v>
      </c>
      <c r="W82" s="11">
        <f t="shared" si="19"/>
        <v>153.87</v>
      </c>
    </row>
    <row r="83" spans="1:23" x14ac:dyDescent="0.3">
      <c r="A83" s="8">
        <f t="shared" si="18"/>
        <v>8</v>
      </c>
      <c r="B83" s="4">
        <v>39295</v>
      </c>
      <c r="C83" s="7">
        <v>149.59</v>
      </c>
      <c r="D83" s="11">
        <f t="shared" si="12"/>
        <v>92.337894736842102</v>
      </c>
      <c r="E83">
        <v>2</v>
      </c>
      <c r="F83" s="7">
        <v>35.14</v>
      </c>
      <c r="G83" s="11">
        <f t="shared" si="20"/>
        <v>45.191428571428567</v>
      </c>
      <c r="H83">
        <v>2</v>
      </c>
      <c r="I83" s="7">
        <v>91.82</v>
      </c>
      <c r="J83" s="11">
        <f t="shared" si="13"/>
        <v>89.390555555555537</v>
      </c>
      <c r="K83">
        <v>1</v>
      </c>
      <c r="L83" s="7">
        <v>464.16</v>
      </c>
      <c r="M83" s="11">
        <f t="shared" si="14"/>
        <v>417.0510526315789</v>
      </c>
      <c r="N83">
        <v>2</v>
      </c>
      <c r="O83" s="7">
        <v>281.27</v>
      </c>
      <c r="P83" s="11">
        <f t="shared" si="15"/>
        <v>208.76473684210529</v>
      </c>
      <c r="Q83">
        <v>2</v>
      </c>
      <c r="R83" s="15">
        <v>7.6</v>
      </c>
      <c r="S83" s="11">
        <f t="shared" si="16"/>
        <v>39.715789473684218</v>
      </c>
      <c r="T83" s="8">
        <v>1</v>
      </c>
      <c r="U83" s="8">
        <f t="shared" si="11"/>
        <v>189.45</v>
      </c>
      <c r="V83" s="11">
        <f t="shared" si="17"/>
        <v>118.48611111111111</v>
      </c>
      <c r="W83" s="11">
        <f t="shared" si="19"/>
        <v>150.05166666666665</v>
      </c>
    </row>
    <row r="84" spans="1:23" x14ac:dyDescent="0.3">
      <c r="A84" s="8">
        <f t="shared" si="18"/>
        <v>9</v>
      </c>
      <c r="B84" s="4">
        <v>39326</v>
      </c>
      <c r="C84" s="7">
        <v>108.06</v>
      </c>
      <c r="D84" s="11">
        <f t="shared" si="12"/>
        <v>72.209473684210522</v>
      </c>
      <c r="E84">
        <v>2</v>
      </c>
      <c r="F84" s="7">
        <v>34.380000000000003</v>
      </c>
      <c r="G84" s="11">
        <f t="shared" si="20"/>
        <v>44.037692307692296</v>
      </c>
      <c r="H84">
        <v>2</v>
      </c>
      <c r="I84" s="7">
        <v>66.45</v>
      </c>
      <c r="J84" s="11">
        <f t="shared" si="13"/>
        <v>64.317222222222213</v>
      </c>
      <c r="K84">
        <v>1</v>
      </c>
      <c r="L84" s="7">
        <v>334.09</v>
      </c>
      <c r="M84" s="11">
        <f t="shared" si="14"/>
        <v>300.97526315789474</v>
      </c>
      <c r="N84">
        <v>2</v>
      </c>
      <c r="O84" s="7">
        <v>232.71</v>
      </c>
      <c r="P84" s="11">
        <f t="shared" si="15"/>
        <v>173.37368421052631</v>
      </c>
      <c r="Q84">
        <v>2</v>
      </c>
      <c r="R84" s="15">
        <v>7.6</v>
      </c>
      <c r="S84" s="11">
        <f t="shared" si="16"/>
        <v>68.976315789473688</v>
      </c>
      <c r="T84" s="8">
        <v>1</v>
      </c>
      <c r="U84" s="8">
        <f t="shared" si="11"/>
        <v>166.26</v>
      </c>
      <c r="V84" s="11">
        <f t="shared" si="17"/>
        <v>108.505</v>
      </c>
      <c r="W84" s="11">
        <f t="shared" si="19"/>
        <v>144.30249999999998</v>
      </c>
    </row>
    <row r="85" spans="1:23" x14ac:dyDescent="0.3">
      <c r="A85" s="8">
        <f t="shared" si="18"/>
        <v>10</v>
      </c>
      <c r="B85" s="4">
        <v>39356</v>
      </c>
      <c r="C85" s="7">
        <v>35.79</v>
      </c>
      <c r="D85" s="11">
        <f t="shared" si="12"/>
        <v>53.688421052631583</v>
      </c>
      <c r="E85">
        <v>2</v>
      </c>
      <c r="F85" s="7">
        <v>33.83</v>
      </c>
      <c r="G85" s="11">
        <f t="shared" si="20"/>
        <v>38.246428571428574</v>
      </c>
      <c r="H85">
        <v>2</v>
      </c>
      <c r="I85" s="7">
        <v>41.85</v>
      </c>
      <c r="J85" s="11">
        <f t="shared" si="13"/>
        <v>43.578947368421062</v>
      </c>
      <c r="K85">
        <v>1</v>
      </c>
      <c r="L85" s="7">
        <v>266.54000000000002</v>
      </c>
      <c r="M85" s="11">
        <f t="shared" si="14"/>
        <v>237.62421052631578</v>
      </c>
      <c r="N85">
        <v>2</v>
      </c>
      <c r="O85" s="7">
        <v>180.63</v>
      </c>
      <c r="P85" s="11">
        <f t="shared" si="15"/>
        <v>143.08473684210523</v>
      </c>
      <c r="Q85">
        <v>2</v>
      </c>
      <c r="R85" s="15">
        <v>7.6</v>
      </c>
      <c r="S85" s="11">
        <f t="shared" si="16"/>
        <v>56.208947368421043</v>
      </c>
      <c r="T85" s="8">
        <v>1</v>
      </c>
      <c r="U85" s="8">
        <f t="shared" si="11"/>
        <v>138.78</v>
      </c>
      <c r="V85" s="11">
        <f t="shared" si="17"/>
        <v>99.505789473684189</v>
      </c>
      <c r="W85" s="11">
        <f t="shared" si="19"/>
        <v>139.3175</v>
      </c>
    </row>
    <row r="86" spans="1:23" x14ac:dyDescent="0.3">
      <c r="A86" s="8">
        <f t="shared" si="18"/>
        <v>11</v>
      </c>
      <c r="B86" s="4">
        <v>39387</v>
      </c>
      <c r="C86" s="7">
        <v>37.39</v>
      </c>
      <c r="D86" s="11">
        <f t="shared" si="12"/>
        <v>65.729473684210518</v>
      </c>
      <c r="E86">
        <v>2</v>
      </c>
      <c r="F86" s="7">
        <v>33.409999999999997</v>
      </c>
      <c r="G86" s="11">
        <f t="shared" si="20"/>
        <v>31.170666666666669</v>
      </c>
      <c r="H86">
        <v>2</v>
      </c>
      <c r="I86" s="7">
        <v>33.1</v>
      </c>
      <c r="J86" s="11">
        <f t="shared" si="13"/>
        <v>42.795263157894738</v>
      </c>
      <c r="K86">
        <v>104</v>
      </c>
      <c r="L86" s="7">
        <v>261.31</v>
      </c>
      <c r="M86" s="11">
        <f t="shared" si="14"/>
        <v>234.77473684210523</v>
      </c>
      <c r="N86">
        <v>2</v>
      </c>
      <c r="O86" s="7">
        <v>142.46</v>
      </c>
      <c r="P86" s="11">
        <f t="shared" si="15"/>
        <v>138.83421052631579</v>
      </c>
      <c r="Q86">
        <v>2</v>
      </c>
      <c r="R86" s="15">
        <v>7.6</v>
      </c>
      <c r="S86" s="11">
        <f t="shared" si="16"/>
        <v>58.608421052631591</v>
      </c>
      <c r="T86" s="8">
        <v>1</v>
      </c>
      <c r="U86" s="8">
        <f t="shared" si="11"/>
        <v>109.36000000000001</v>
      </c>
      <c r="V86" s="11">
        <f t="shared" si="17"/>
        <v>96.038947368421077</v>
      </c>
      <c r="W86" s="11">
        <f t="shared" si="19"/>
        <v>135.34583333333333</v>
      </c>
    </row>
    <row r="87" spans="1:23" x14ac:dyDescent="0.3">
      <c r="A87" s="8">
        <f t="shared" si="18"/>
        <v>12</v>
      </c>
      <c r="B87" s="4">
        <v>39417</v>
      </c>
      <c r="C87" s="7">
        <v>72.349999999999994</v>
      </c>
      <c r="D87" s="11">
        <f t="shared" si="12"/>
        <v>164.87789473684211</v>
      </c>
      <c r="E87">
        <v>2</v>
      </c>
      <c r="F87" s="7">
        <v>34.76</v>
      </c>
      <c r="G87" s="11">
        <f t="shared" si="20"/>
        <v>29.229375000000001</v>
      </c>
      <c r="H87">
        <v>2</v>
      </c>
      <c r="I87" s="7">
        <v>77.430000000000007</v>
      </c>
      <c r="J87" s="11">
        <f t="shared" si="13"/>
        <v>123.60999999999999</v>
      </c>
      <c r="K87">
        <v>104</v>
      </c>
      <c r="L87" s="7">
        <v>366.99</v>
      </c>
      <c r="M87" s="11">
        <f t="shared" si="14"/>
        <v>340.84421052631575</v>
      </c>
      <c r="N87">
        <v>2</v>
      </c>
      <c r="O87" s="7">
        <v>164.97</v>
      </c>
      <c r="P87" s="11">
        <f t="shared" si="15"/>
        <v>216.46631578947367</v>
      </c>
      <c r="Q87">
        <v>2</v>
      </c>
      <c r="R87" s="15">
        <v>7.6</v>
      </c>
      <c r="S87" s="11">
        <f t="shared" si="16"/>
        <v>129.68894736842105</v>
      </c>
      <c r="T87" s="8">
        <v>1</v>
      </c>
      <c r="U87" s="8">
        <f t="shared" si="11"/>
        <v>87.539999999999992</v>
      </c>
      <c r="V87" s="11">
        <f t="shared" si="17"/>
        <v>92.856315789473669</v>
      </c>
      <c r="W87" s="11">
        <f t="shared" si="19"/>
        <v>133.67499999999998</v>
      </c>
    </row>
    <row r="88" spans="1:23" x14ac:dyDescent="0.3">
      <c r="A88" s="8">
        <f t="shared" si="18"/>
        <v>1</v>
      </c>
      <c r="B88" s="4">
        <v>39448</v>
      </c>
      <c r="C88" s="7">
        <v>47.49</v>
      </c>
      <c r="D88" s="11">
        <f t="shared" si="12"/>
        <v>262.35600000000005</v>
      </c>
      <c r="E88">
        <v>2</v>
      </c>
      <c r="F88" s="7">
        <v>41.48</v>
      </c>
      <c r="G88" s="11">
        <f t="shared" si="20"/>
        <v>30.8</v>
      </c>
      <c r="H88">
        <v>2</v>
      </c>
      <c r="I88" s="7">
        <v>88.39</v>
      </c>
      <c r="J88" s="11">
        <f t="shared" si="13"/>
        <v>241.63399999999996</v>
      </c>
      <c r="K88">
        <v>26</v>
      </c>
      <c r="L88" s="7">
        <v>826.57</v>
      </c>
      <c r="M88" s="11">
        <f t="shared" si="14"/>
        <v>671.20894736842092</v>
      </c>
      <c r="N88">
        <v>2</v>
      </c>
      <c r="O88" s="7">
        <v>203.48</v>
      </c>
      <c r="P88" s="11">
        <f t="shared" si="15"/>
        <v>362.94894736842105</v>
      </c>
      <c r="Q88">
        <v>1</v>
      </c>
      <c r="R88" s="15">
        <v>7.6</v>
      </c>
      <c r="S88" s="11">
        <f t="shared" si="16"/>
        <v>90.957368421052621</v>
      </c>
      <c r="T88" s="8">
        <v>1</v>
      </c>
      <c r="U88" s="8">
        <f t="shared" si="11"/>
        <v>115.08999999999999</v>
      </c>
      <c r="V88" s="11">
        <f t="shared" si="17"/>
        <v>126.33499999999998</v>
      </c>
      <c r="W88" s="11">
        <f t="shared" si="19"/>
        <v>133.16833333333332</v>
      </c>
    </row>
    <row r="89" spans="1:23" x14ac:dyDescent="0.3">
      <c r="A89" s="8">
        <f t="shared" si="18"/>
        <v>2</v>
      </c>
      <c r="B89" s="4">
        <v>39479</v>
      </c>
      <c r="C89" s="7">
        <v>228.9</v>
      </c>
      <c r="D89" s="11">
        <f t="shared" si="12"/>
        <v>328.9663157894737</v>
      </c>
      <c r="E89">
        <v>2</v>
      </c>
      <c r="F89" s="7">
        <v>54.03</v>
      </c>
      <c r="G89" s="11">
        <f t="shared" si="20"/>
        <v>33.1875</v>
      </c>
      <c r="H89">
        <v>2</v>
      </c>
      <c r="I89" s="7">
        <v>213.65</v>
      </c>
      <c r="J89" s="11">
        <f t="shared" si="13"/>
        <v>334.30099999999993</v>
      </c>
      <c r="K89">
        <v>26</v>
      </c>
      <c r="L89" s="7">
        <v>2704.26</v>
      </c>
      <c r="M89" s="11">
        <f t="shared" si="14"/>
        <v>1650.3500000000001</v>
      </c>
      <c r="N89">
        <v>1</v>
      </c>
      <c r="O89" s="7">
        <v>357.3</v>
      </c>
      <c r="P89" s="11">
        <f t="shared" si="15"/>
        <v>463.72789473684207</v>
      </c>
      <c r="Q89">
        <v>1</v>
      </c>
      <c r="R89" s="15">
        <v>7.6</v>
      </c>
      <c r="S89" s="11">
        <f t="shared" si="16"/>
        <v>109.05882352941175</v>
      </c>
      <c r="T89" s="8">
        <v>1</v>
      </c>
      <c r="U89" s="8">
        <f t="shared" si="11"/>
        <v>143.65</v>
      </c>
      <c r="V89" s="11">
        <f t="shared" si="17"/>
        <v>134.9257894736842</v>
      </c>
      <c r="W89" s="11">
        <f t="shared" si="19"/>
        <v>136.11666666666665</v>
      </c>
    </row>
    <row r="90" spans="1:23" x14ac:dyDescent="0.3">
      <c r="A90" s="8">
        <f t="shared" si="18"/>
        <v>3</v>
      </c>
      <c r="B90" s="4">
        <v>39508</v>
      </c>
      <c r="C90" s="7">
        <v>739.91</v>
      </c>
      <c r="D90" s="11">
        <f t="shared" si="12"/>
        <v>469.14</v>
      </c>
      <c r="E90">
        <v>2</v>
      </c>
      <c r="F90" s="7">
        <v>71.48</v>
      </c>
      <c r="G90" s="11">
        <f t="shared" si="20"/>
        <v>37.004666666666672</v>
      </c>
      <c r="H90">
        <v>2</v>
      </c>
      <c r="I90" s="7">
        <v>320.98</v>
      </c>
      <c r="J90" s="11">
        <f t="shared" si="13"/>
        <v>431.04200000000003</v>
      </c>
      <c r="K90">
        <v>26</v>
      </c>
      <c r="L90" s="7">
        <v>3585.85</v>
      </c>
      <c r="M90" s="11">
        <f t="shared" si="14"/>
        <v>3124.677368421053</v>
      </c>
      <c r="N90">
        <v>1</v>
      </c>
      <c r="O90" s="7">
        <v>450.2</v>
      </c>
      <c r="P90" s="11">
        <f t="shared" si="15"/>
        <v>565.95157894736838</v>
      </c>
      <c r="Q90">
        <v>1</v>
      </c>
      <c r="R90" s="15">
        <v>8.3699999999999992</v>
      </c>
      <c r="S90" s="11">
        <f t="shared" si="16"/>
        <v>223.16157894736844</v>
      </c>
      <c r="T90" s="8">
        <v>1</v>
      </c>
      <c r="U90" s="8">
        <f t="shared" si="11"/>
        <v>129.21999999999997</v>
      </c>
      <c r="V90" s="11">
        <f t="shared" si="17"/>
        <v>138.05736842105264</v>
      </c>
      <c r="W90" s="11">
        <f t="shared" si="19"/>
        <v>141.73166666666668</v>
      </c>
    </row>
    <row r="91" spans="1:23" x14ac:dyDescent="0.3">
      <c r="A91" s="8">
        <f t="shared" si="18"/>
        <v>4</v>
      </c>
      <c r="B91" s="4">
        <v>39539</v>
      </c>
      <c r="C91" s="7">
        <v>443.43</v>
      </c>
      <c r="D91" s="11">
        <f t="shared" si="12"/>
        <v>589.29650000000015</v>
      </c>
      <c r="E91">
        <v>2</v>
      </c>
      <c r="F91" s="7">
        <v>57.96</v>
      </c>
      <c r="G91" s="11">
        <f t="shared" si="20"/>
        <v>37.96</v>
      </c>
      <c r="H91">
        <v>2</v>
      </c>
      <c r="I91" s="7">
        <v>375.02</v>
      </c>
      <c r="J91" s="11">
        <f t="shared" si="13"/>
        <v>483.73894736842101</v>
      </c>
      <c r="K91">
        <v>26</v>
      </c>
      <c r="L91" s="7">
        <v>3721.38</v>
      </c>
      <c r="M91" s="11">
        <f t="shared" si="14"/>
        <v>3744.6268421052641</v>
      </c>
      <c r="N91">
        <v>26</v>
      </c>
      <c r="O91" s="7">
        <v>562.55999999999995</v>
      </c>
      <c r="P91" s="11">
        <f t="shared" si="15"/>
        <v>682.00947368421055</v>
      </c>
      <c r="Q91">
        <v>1</v>
      </c>
      <c r="R91" s="15">
        <v>24.02</v>
      </c>
      <c r="S91" s="11">
        <f t="shared" si="16"/>
        <v>222.48684210526312</v>
      </c>
      <c r="T91" s="8">
        <v>1</v>
      </c>
      <c r="U91" s="8">
        <f t="shared" si="11"/>
        <v>187.53999999999996</v>
      </c>
      <c r="V91" s="11">
        <f t="shared" si="17"/>
        <v>198.27052631578945</v>
      </c>
      <c r="W91" s="11">
        <f t="shared" si="19"/>
        <v>153.58666666666667</v>
      </c>
    </row>
    <row r="92" spans="1:23" x14ac:dyDescent="0.3">
      <c r="A92" s="8">
        <f t="shared" si="18"/>
        <v>5</v>
      </c>
      <c r="B92" s="4">
        <v>39569</v>
      </c>
      <c r="C92" s="7">
        <v>265.82</v>
      </c>
      <c r="D92" s="11">
        <f t="shared" si="12"/>
        <v>310.70526315789482</v>
      </c>
      <c r="E92">
        <v>2</v>
      </c>
      <c r="F92" s="7">
        <v>50.66</v>
      </c>
      <c r="G92" s="11">
        <f t="shared" si="20"/>
        <v>38.770000000000003</v>
      </c>
      <c r="H92">
        <v>2</v>
      </c>
      <c r="I92" s="7">
        <v>261.12</v>
      </c>
      <c r="J92" s="11">
        <f t="shared" si="13"/>
        <v>306.97578947368419</v>
      </c>
      <c r="K92">
        <v>26</v>
      </c>
      <c r="L92" s="7">
        <v>2569.14</v>
      </c>
      <c r="M92" s="11">
        <f t="shared" si="14"/>
        <v>2961.8094736842104</v>
      </c>
      <c r="N92">
        <v>26</v>
      </c>
      <c r="O92" s="7">
        <v>468.57</v>
      </c>
      <c r="P92" s="11">
        <f t="shared" si="15"/>
        <v>530.60473684210535</v>
      </c>
      <c r="Q92">
        <v>1</v>
      </c>
      <c r="R92" s="15">
        <v>19.36</v>
      </c>
      <c r="S92" s="11">
        <f t="shared" si="16"/>
        <v>164.41473684210524</v>
      </c>
      <c r="T92" s="8">
        <v>1</v>
      </c>
      <c r="U92" s="8">
        <f t="shared" si="11"/>
        <v>207.45</v>
      </c>
      <c r="V92" s="11">
        <f t="shared" si="17"/>
        <v>223.628947368421</v>
      </c>
      <c r="W92" s="11">
        <f t="shared" si="19"/>
        <v>164.56916666666666</v>
      </c>
    </row>
    <row r="93" spans="1:23" x14ac:dyDescent="0.3">
      <c r="A93" s="8">
        <f t="shared" si="18"/>
        <v>6</v>
      </c>
      <c r="B93" s="4">
        <v>39600</v>
      </c>
      <c r="C93" s="7">
        <v>110.51</v>
      </c>
      <c r="D93" s="11">
        <f t="shared" si="12"/>
        <v>145.28526315789475</v>
      </c>
      <c r="E93">
        <v>2</v>
      </c>
      <c r="F93" s="7">
        <v>62.37</v>
      </c>
      <c r="G93" s="11">
        <f t="shared" si="20"/>
        <v>40.809285714285714</v>
      </c>
      <c r="H93">
        <v>2</v>
      </c>
      <c r="I93" s="7">
        <v>134.66999999999999</v>
      </c>
      <c r="J93" s="11">
        <f t="shared" si="13"/>
        <v>158.42111111111114</v>
      </c>
      <c r="K93">
        <v>26</v>
      </c>
      <c r="L93" s="7">
        <v>1335.51</v>
      </c>
      <c r="M93" s="11">
        <f t="shared" si="14"/>
        <v>1490.274210526316</v>
      </c>
      <c r="N93">
        <v>26</v>
      </c>
      <c r="O93" s="7">
        <v>309.85000000000002</v>
      </c>
      <c r="P93" s="11">
        <f t="shared" si="15"/>
        <v>340.09052631578948</v>
      </c>
      <c r="Q93">
        <v>1</v>
      </c>
      <c r="R93" s="15">
        <v>16.96</v>
      </c>
      <c r="S93" s="11">
        <f t="shared" si="16"/>
        <v>102.51894736842105</v>
      </c>
      <c r="T93" s="8">
        <v>1</v>
      </c>
      <c r="U93" s="8">
        <f t="shared" si="11"/>
        <v>175.18000000000004</v>
      </c>
      <c r="V93" s="11">
        <f t="shared" si="17"/>
        <v>179.35777777777776</v>
      </c>
      <c r="W93" s="11">
        <f t="shared" si="19"/>
        <v>170.20833333333334</v>
      </c>
    </row>
    <row r="94" spans="1:23" x14ac:dyDescent="0.3">
      <c r="A94" s="8">
        <f t="shared" si="18"/>
        <v>7</v>
      </c>
      <c r="B94" s="4">
        <v>39630</v>
      </c>
      <c r="C94" s="7">
        <v>76.33</v>
      </c>
      <c r="D94" s="11">
        <f t="shared" si="12"/>
        <v>111.3</v>
      </c>
      <c r="E94">
        <v>2</v>
      </c>
      <c r="F94" s="7">
        <v>71.12</v>
      </c>
      <c r="G94" s="11">
        <f t="shared" si="20"/>
        <v>43.05</v>
      </c>
      <c r="H94">
        <v>2</v>
      </c>
      <c r="I94" s="7">
        <v>97.41</v>
      </c>
      <c r="J94" s="11">
        <f t="shared" si="13"/>
        <v>111.83722222222222</v>
      </c>
      <c r="K94">
        <v>26</v>
      </c>
      <c r="L94" s="7">
        <v>612.51</v>
      </c>
      <c r="M94" s="11">
        <f t="shared" si="14"/>
        <v>693.74263157894745</v>
      </c>
      <c r="N94">
        <v>26</v>
      </c>
      <c r="O94" s="7">
        <v>248.51</v>
      </c>
      <c r="P94" s="11">
        <f t="shared" si="15"/>
        <v>256.32526315789482</v>
      </c>
      <c r="Q94">
        <v>1</v>
      </c>
      <c r="R94" s="15">
        <v>13.66</v>
      </c>
      <c r="S94" s="11">
        <f t="shared" si="16"/>
        <v>63.705789473684213</v>
      </c>
      <c r="T94" s="8">
        <v>1</v>
      </c>
      <c r="U94" s="8">
        <f t="shared" si="11"/>
        <v>151.1</v>
      </c>
      <c r="V94" s="11">
        <f t="shared" si="17"/>
        <v>141.94888888888892</v>
      </c>
      <c r="W94" s="11">
        <f t="shared" si="19"/>
        <v>171.02666666666667</v>
      </c>
    </row>
    <row r="95" spans="1:23" x14ac:dyDescent="0.3">
      <c r="A95" s="8">
        <f t="shared" si="18"/>
        <v>8</v>
      </c>
      <c r="B95" s="4">
        <v>39661</v>
      </c>
      <c r="C95" s="7">
        <v>77.8</v>
      </c>
      <c r="D95" s="11">
        <f t="shared" si="12"/>
        <v>92.337894736842102</v>
      </c>
      <c r="E95">
        <v>2</v>
      </c>
      <c r="F95" s="7">
        <v>67.7</v>
      </c>
      <c r="G95" s="11">
        <f t="shared" si="20"/>
        <v>45.191428571428567</v>
      </c>
      <c r="H95">
        <v>2</v>
      </c>
      <c r="I95" s="7">
        <v>75.89</v>
      </c>
      <c r="J95" s="11">
        <f t="shared" si="13"/>
        <v>89.390555555555537</v>
      </c>
      <c r="K95">
        <v>26</v>
      </c>
      <c r="L95" s="7">
        <v>376.8</v>
      </c>
      <c r="M95" s="11">
        <f t="shared" si="14"/>
        <v>417.0510526315789</v>
      </c>
      <c r="N95">
        <v>26</v>
      </c>
      <c r="O95" s="7">
        <v>196.35</v>
      </c>
      <c r="P95" s="11">
        <f t="shared" si="15"/>
        <v>208.76473684210529</v>
      </c>
      <c r="Q95">
        <v>1</v>
      </c>
      <c r="R95" s="15">
        <v>13.11</v>
      </c>
      <c r="S95" s="11">
        <f t="shared" si="16"/>
        <v>39.715789473684218</v>
      </c>
      <c r="T95" s="8">
        <v>1</v>
      </c>
      <c r="U95" s="8">
        <f t="shared" si="11"/>
        <v>120.46</v>
      </c>
      <c r="V95" s="11">
        <f t="shared" si="17"/>
        <v>118.48611111111111</v>
      </c>
      <c r="W95" s="11">
        <f t="shared" si="19"/>
        <v>169.29333333333332</v>
      </c>
    </row>
    <row r="96" spans="1:23" x14ac:dyDescent="0.3">
      <c r="A96" s="8">
        <f t="shared" si="18"/>
        <v>9</v>
      </c>
      <c r="B96" s="4">
        <v>39692</v>
      </c>
      <c r="C96" s="7">
        <v>50.85</v>
      </c>
      <c r="D96" s="11">
        <f t="shared" si="12"/>
        <v>72.209473684210522</v>
      </c>
      <c r="E96">
        <v>2</v>
      </c>
      <c r="F96" s="7">
        <v>56.8</v>
      </c>
      <c r="G96" s="11">
        <f t="shared" si="20"/>
        <v>44.037692307692296</v>
      </c>
      <c r="H96">
        <v>2</v>
      </c>
      <c r="I96" s="7">
        <v>51.95</v>
      </c>
      <c r="J96" s="11">
        <f t="shared" si="13"/>
        <v>64.317222222222213</v>
      </c>
      <c r="K96">
        <v>104</v>
      </c>
      <c r="L96" s="7">
        <v>268.51</v>
      </c>
      <c r="M96" s="11">
        <f t="shared" si="14"/>
        <v>300.97526315789474</v>
      </c>
      <c r="N96">
        <v>26</v>
      </c>
      <c r="O96" s="7">
        <v>158.38999999999999</v>
      </c>
      <c r="P96" s="11">
        <f t="shared" si="15"/>
        <v>173.37368421052631</v>
      </c>
      <c r="Q96">
        <v>1</v>
      </c>
      <c r="R96" s="15">
        <v>13.08</v>
      </c>
      <c r="S96" s="11">
        <f t="shared" si="16"/>
        <v>68.976315789473688</v>
      </c>
      <c r="T96" s="8">
        <v>1</v>
      </c>
      <c r="U96" s="8">
        <f t="shared" si="11"/>
        <v>106.43999999999998</v>
      </c>
      <c r="V96" s="11">
        <f t="shared" si="17"/>
        <v>108.505</v>
      </c>
      <c r="W96" s="11">
        <f t="shared" si="19"/>
        <v>169.00916666666663</v>
      </c>
    </row>
    <row r="97" spans="1:23" x14ac:dyDescent="0.3">
      <c r="A97" s="8">
        <f t="shared" si="18"/>
        <v>10</v>
      </c>
      <c r="B97" s="4">
        <v>39722</v>
      </c>
      <c r="C97" s="7">
        <v>34.11</v>
      </c>
      <c r="D97" s="11">
        <f t="shared" si="12"/>
        <v>53.688421052631583</v>
      </c>
      <c r="E97">
        <v>2</v>
      </c>
      <c r="F97" s="7">
        <v>45.05</v>
      </c>
      <c r="G97" s="11">
        <f t="shared" si="20"/>
        <v>38.246428571428574</v>
      </c>
      <c r="H97">
        <v>2</v>
      </c>
      <c r="I97" s="7">
        <v>33.770000000000003</v>
      </c>
      <c r="J97" s="11">
        <f t="shared" si="13"/>
        <v>43.578947368421062</v>
      </c>
      <c r="K97">
        <v>104</v>
      </c>
      <c r="L97" s="7">
        <v>203.11</v>
      </c>
      <c r="M97" s="11">
        <f t="shared" si="14"/>
        <v>237.62421052631578</v>
      </c>
      <c r="N97">
        <v>1</v>
      </c>
      <c r="O97" s="7">
        <v>124.89</v>
      </c>
      <c r="P97" s="11">
        <f t="shared" si="15"/>
        <v>143.08473684210523</v>
      </c>
      <c r="Q97">
        <v>1</v>
      </c>
      <c r="R97" s="15">
        <v>13.22</v>
      </c>
      <c r="S97" s="11">
        <f t="shared" si="16"/>
        <v>56.208947368421043</v>
      </c>
      <c r="T97" s="8">
        <v>1</v>
      </c>
      <c r="U97" s="8">
        <f t="shared" si="11"/>
        <v>91.12</v>
      </c>
      <c r="V97" s="11">
        <f t="shared" si="17"/>
        <v>99.505789473684189</v>
      </c>
      <c r="W97" s="11">
        <f t="shared" si="19"/>
        <v>170.08666666666667</v>
      </c>
    </row>
    <row r="98" spans="1:23" x14ac:dyDescent="0.3">
      <c r="A98" s="8">
        <f t="shared" si="18"/>
        <v>11</v>
      </c>
      <c r="B98" s="4">
        <v>39753</v>
      </c>
      <c r="C98" s="7">
        <v>37.29</v>
      </c>
      <c r="D98" s="11">
        <f t="shared" si="12"/>
        <v>65.729473684210518</v>
      </c>
      <c r="E98">
        <v>2</v>
      </c>
      <c r="F98" s="7">
        <v>42.31</v>
      </c>
      <c r="G98" s="11">
        <f t="shared" si="20"/>
        <v>31.170666666666669</v>
      </c>
      <c r="H98">
        <v>2</v>
      </c>
      <c r="I98" s="7">
        <v>38.520000000000003</v>
      </c>
      <c r="J98" s="11">
        <f t="shared" si="13"/>
        <v>42.795263157894738</v>
      </c>
      <c r="K98">
        <v>104</v>
      </c>
      <c r="L98" s="7">
        <v>234.6</v>
      </c>
      <c r="M98" s="11">
        <f t="shared" si="14"/>
        <v>234.77473684210523</v>
      </c>
      <c r="N98">
        <v>1</v>
      </c>
      <c r="O98" s="7">
        <v>127.83</v>
      </c>
      <c r="P98" s="11">
        <f t="shared" si="15"/>
        <v>138.83421052631579</v>
      </c>
      <c r="Q98">
        <v>1</v>
      </c>
      <c r="R98" s="15">
        <v>13.22</v>
      </c>
      <c r="S98" s="11">
        <f t="shared" si="16"/>
        <v>58.608421052631591</v>
      </c>
      <c r="T98" s="8">
        <v>1</v>
      </c>
      <c r="U98" s="8">
        <f t="shared" si="11"/>
        <v>89.31</v>
      </c>
      <c r="V98" s="11">
        <f t="shared" si="17"/>
        <v>96.038947368421077</v>
      </c>
      <c r="W98" s="11">
        <f t="shared" si="19"/>
        <v>171.76333333333329</v>
      </c>
    </row>
    <row r="99" spans="1:23" x14ac:dyDescent="0.3">
      <c r="A99" s="8">
        <f t="shared" si="18"/>
        <v>12</v>
      </c>
      <c r="B99" s="4">
        <v>39783</v>
      </c>
      <c r="C99" s="7">
        <v>180.42</v>
      </c>
      <c r="D99" s="11">
        <f t="shared" si="12"/>
        <v>164.87789473684211</v>
      </c>
      <c r="E99">
        <v>2</v>
      </c>
      <c r="F99" s="7">
        <v>42.58</v>
      </c>
      <c r="G99" s="11">
        <f t="shared" si="20"/>
        <v>29.229375000000001</v>
      </c>
      <c r="H99">
        <v>2</v>
      </c>
      <c r="I99" s="7">
        <v>181.23</v>
      </c>
      <c r="J99" s="11">
        <f t="shared" si="13"/>
        <v>123.60999999999999</v>
      </c>
      <c r="K99">
        <v>26</v>
      </c>
      <c r="L99" s="7">
        <v>421.71</v>
      </c>
      <c r="M99" s="11">
        <f t="shared" si="14"/>
        <v>340.84421052631575</v>
      </c>
      <c r="N99">
        <v>1</v>
      </c>
      <c r="O99" s="7">
        <v>262.69</v>
      </c>
      <c r="P99" s="11">
        <f t="shared" si="15"/>
        <v>216.46631578947367</v>
      </c>
      <c r="Q99">
        <v>77</v>
      </c>
      <c r="R99" s="15">
        <v>12.71</v>
      </c>
      <c r="S99" s="11">
        <f t="shared" si="16"/>
        <v>129.68894736842105</v>
      </c>
      <c r="T99" s="8">
        <v>1</v>
      </c>
      <c r="U99" s="8">
        <f t="shared" si="11"/>
        <v>81.460000000000008</v>
      </c>
      <c r="V99" s="11">
        <f t="shared" si="17"/>
        <v>92.856315789473669</v>
      </c>
      <c r="W99" s="11">
        <f t="shared" si="19"/>
        <v>172.89416666666662</v>
      </c>
    </row>
    <row r="100" spans="1:23" x14ac:dyDescent="0.3">
      <c r="A100" s="8">
        <f t="shared" si="18"/>
        <v>1</v>
      </c>
      <c r="B100" s="4">
        <v>39814</v>
      </c>
      <c r="C100" s="7">
        <v>392.57</v>
      </c>
      <c r="D100" s="11">
        <f t="shared" si="12"/>
        <v>262.35600000000005</v>
      </c>
      <c r="E100">
        <v>2</v>
      </c>
      <c r="F100" s="7">
        <v>42.88</v>
      </c>
      <c r="G100" s="11">
        <f t="shared" si="20"/>
        <v>30.8</v>
      </c>
      <c r="H100">
        <v>2</v>
      </c>
      <c r="I100" s="7">
        <v>329.29</v>
      </c>
      <c r="J100" s="11">
        <f t="shared" si="13"/>
        <v>241.63399999999996</v>
      </c>
      <c r="K100">
        <v>26</v>
      </c>
      <c r="L100" s="7">
        <v>810.44</v>
      </c>
      <c r="M100" s="11">
        <f t="shared" si="14"/>
        <v>671.20894736842092</v>
      </c>
      <c r="N100">
        <v>1</v>
      </c>
      <c r="O100" s="7">
        <v>479.76</v>
      </c>
      <c r="P100" s="11">
        <f t="shared" si="15"/>
        <v>362.94894736842105</v>
      </c>
      <c r="Q100">
        <v>77</v>
      </c>
      <c r="R100" s="15">
        <v>12.1</v>
      </c>
      <c r="S100" s="11">
        <f t="shared" si="16"/>
        <v>90.957368421052621</v>
      </c>
      <c r="T100" s="8">
        <v>1</v>
      </c>
      <c r="U100" s="8">
        <f t="shared" si="11"/>
        <v>150.46999999999997</v>
      </c>
      <c r="V100" s="11">
        <f t="shared" si="17"/>
        <v>126.33499999999998</v>
      </c>
      <c r="W100" s="11">
        <f t="shared" si="19"/>
        <v>173.1925</v>
      </c>
    </row>
    <row r="101" spans="1:23" x14ac:dyDescent="0.3">
      <c r="A101" s="8">
        <f t="shared" si="18"/>
        <v>2</v>
      </c>
      <c r="B101" s="4">
        <v>39845</v>
      </c>
      <c r="C101" s="7">
        <v>234.1</v>
      </c>
      <c r="D101" s="11">
        <f t="shared" si="12"/>
        <v>328.9663157894737</v>
      </c>
      <c r="E101">
        <v>2</v>
      </c>
      <c r="F101" s="7">
        <v>44.42</v>
      </c>
      <c r="G101" s="11">
        <f t="shared" si="20"/>
        <v>33.1875</v>
      </c>
      <c r="H101">
        <v>2</v>
      </c>
      <c r="I101" s="7">
        <v>325.04000000000002</v>
      </c>
      <c r="J101" s="11">
        <f t="shared" si="13"/>
        <v>334.30099999999993</v>
      </c>
      <c r="K101">
        <v>26</v>
      </c>
      <c r="L101" s="7">
        <v>1767.96</v>
      </c>
      <c r="M101" s="11">
        <f t="shared" si="14"/>
        <v>1650.3500000000001</v>
      </c>
      <c r="N101">
        <v>1</v>
      </c>
      <c r="O101" s="7">
        <v>536.07000000000005</v>
      </c>
      <c r="P101" s="11">
        <f t="shared" si="15"/>
        <v>463.72789473684207</v>
      </c>
      <c r="Q101">
        <v>77</v>
      </c>
      <c r="R101" s="15">
        <v>58.08</v>
      </c>
      <c r="S101" s="11">
        <f t="shared" si="16"/>
        <v>109.05882352941175</v>
      </c>
      <c r="T101" s="8">
        <v>1</v>
      </c>
      <c r="U101" s="8">
        <f t="shared" si="11"/>
        <v>211.03000000000003</v>
      </c>
      <c r="V101" s="11">
        <f t="shared" si="17"/>
        <v>134.9257894736842</v>
      </c>
      <c r="W101" s="11">
        <f t="shared" si="19"/>
        <v>175.25818181818178</v>
      </c>
    </row>
    <row r="102" spans="1:23" x14ac:dyDescent="0.3">
      <c r="A102" s="8">
        <f t="shared" si="18"/>
        <v>3</v>
      </c>
      <c r="B102" s="4">
        <v>39873</v>
      </c>
      <c r="C102" s="7">
        <v>676.09</v>
      </c>
      <c r="D102" s="11">
        <f t="shared" si="12"/>
        <v>469.14</v>
      </c>
      <c r="E102">
        <v>2</v>
      </c>
      <c r="F102" s="7">
        <v>48.86</v>
      </c>
      <c r="G102" s="11">
        <f t="shared" si="20"/>
        <v>37.004666666666672</v>
      </c>
      <c r="H102">
        <v>2</v>
      </c>
      <c r="I102" s="7">
        <v>733.47</v>
      </c>
      <c r="J102" s="11">
        <f t="shared" si="13"/>
        <v>431.04200000000003</v>
      </c>
      <c r="K102">
        <v>26</v>
      </c>
      <c r="L102" s="7">
        <v>5619.73</v>
      </c>
      <c r="M102" s="11">
        <f t="shared" si="14"/>
        <v>3124.677368421053</v>
      </c>
      <c r="N102">
        <v>1</v>
      </c>
      <c r="O102" s="7">
        <v>1004.95</v>
      </c>
      <c r="P102" s="11">
        <f t="shared" si="15"/>
        <v>565.95157894736838</v>
      </c>
      <c r="Q102">
        <v>77</v>
      </c>
      <c r="R102" s="15">
        <v>719.23</v>
      </c>
      <c r="S102" s="11">
        <f t="shared" si="16"/>
        <v>223.16157894736844</v>
      </c>
      <c r="T102" s="8">
        <v>1</v>
      </c>
      <c r="U102" s="8">
        <f t="shared" si="11"/>
        <v>271.48</v>
      </c>
      <c r="V102" s="11">
        <f t="shared" si="17"/>
        <v>138.05736842105264</v>
      </c>
      <c r="W102" s="11">
        <f t="shared" si="19"/>
        <v>176.32909090909089</v>
      </c>
    </row>
    <row r="103" spans="1:23" x14ac:dyDescent="0.3">
      <c r="A103" s="8">
        <f t="shared" si="18"/>
        <v>4</v>
      </c>
      <c r="B103" s="4">
        <v>39904</v>
      </c>
      <c r="C103" s="7">
        <v>464.06</v>
      </c>
      <c r="D103" s="11">
        <f t="shared" si="12"/>
        <v>589.29650000000015</v>
      </c>
      <c r="E103">
        <v>2</v>
      </c>
      <c r="F103" s="7">
        <v>51.99</v>
      </c>
      <c r="G103" s="11">
        <f t="shared" si="20"/>
        <v>37.96</v>
      </c>
      <c r="H103">
        <v>2</v>
      </c>
      <c r="I103" s="7">
        <v>623.02</v>
      </c>
      <c r="J103" s="11">
        <f t="shared" si="13"/>
        <v>483.73894736842101</v>
      </c>
      <c r="K103">
        <v>26</v>
      </c>
      <c r="L103" s="7">
        <v>5750.46</v>
      </c>
      <c r="M103" s="11">
        <f t="shared" si="14"/>
        <v>3744.6268421052641</v>
      </c>
      <c r="N103">
        <v>1</v>
      </c>
      <c r="O103" s="7">
        <v>942.35</v>
      </c>
      <c r="P103" s="11">
        <f t="shared" si="15"/>
        <v>682.00947368421055</v>
      </c>
      <c r="Q103">
        <v>77</v>
      </c>
      <c r="R103" s="15">
        <v>220.41</v>
      </c>
      <c r="S103" s="11">
        <f t="shared" si="16"/>
        <v>222.48684210526312</v>
      </c>
      <c r="T103" s="8">
        <v>1</v>
      </c>
      <c r="U103" s="8">
        <f t="shared" si="11"/>
        <v>319.33000000000004</v>
      </c>
      <c r="V103" s="11">
        <f t="shared" si="17"/>
        <v>198.27052631578945</v>
      </c>
      <c r="W103" s="11">
        <f t="shared" si="19"/>
        <v>161.15909090909091</v>
      </c>
    </row>
    <row r="104" spans="1:23" x14ac:dyDescent="0.3">
      <c r="A104" s="8">
        <f t="shared" si="18"/>
        <v>5</v>
      </c>
      <c r="B104" s="4">
        <v>39934</v>
      </c>
      <c r="C104" s="7">
        <v>275.60000000000002</v>
      </c>
      <c r="D104" s="11">
        <f t="shared" si="12"/>
        <v>310.70526315789482</v>
      </c>
      <c r="E104">
        <v>2</v>
      </c>
      <c r="F104" s="7">
        <v>63.55</v>
      </c>
      <c r="G104" s="11">
        <f t="shared" si="20"/>
        <v>38.770000000000003</v>
      </c>
      <c r="H104">
        <v>2</v>
      </c>
      <c r="I104" s="7">
        <v>345.03</v>
      </c>
      <c r="J104" s="11">
        <f t="shared" si="13"/>
        <v>306.97578947368419</v>
      </c>
      <c r="K104">
        <v>26</v>
      </c>
      <c r="L104" s="7">
        <v>2796.89</v>
      </c>
      <c r="M104" s="11">
        <f t="shared" si="14"/>
        <v>2961.8094736842104</v>
      </c>
      <c r="N104">
        <v>26</v>
      </c>
      <c r="O104" s="7">
        <v>620.15</v>
      </c>
      <c r="P104" s="11">
        <f t="shared" si="15"/>
        <v>530.60473684210535</v>
      </c>
      <c r="Q104">
        <v>2</v>
      </c>
      <c r="R104" s="15">
        <v>46.58</v>
      </c>
      <c r="S104" s="11">
        <f t="shared" si="16"/>
        <v>164.41473684210524</v>
      </c>
      <c r="T104" s="8">
        <v>1</v>
      </c>
      <c r="U104" s="8">
        <f t="shared" si="11"/>
        <v>275.12</v>
      </c>
      <c r="V104" s="11">
        <f t="shared" si="17"/>
        <v>223.628947368421</v>
      </c>
      <c r="W104" s="11">
        <f t="shared" si="19"/>
        <v>165.45909090909092</v>
      </c>
    </row>
    <row r="105" spans="1:23" x14ac:dyDescent="0.3">
      <c r="A105" s="8">
        <f t="shared" si="18"/>
        <v>6</v>
      </c>
      <c r="B105" s="4">
        <v>39965</v>
      </c>
      <c r="C105" s="7">
        <v>180.07</v>
      </c>
      <c r="D105" s="11">
        <f t="shared" si="12"/>
        <v>145.28526315789475</v>
      </c>
      <c r="E105">
        <v>2</v>
      </c>
      <c r="F105" s="7">
        <v>85.7</v>
      </c>
      <c r="G105" s="11">
        <f t="shared" si="20"/>
        <v>40.809285714285714</v>
      </c>
      <c r="H105">
        <v>2</v>
      </c>
      <c r="I105" s="7">
        <v>188.73</v>
      </c>
      <c r="J105" s="11">
        <f t="shared" si="13"/>
        <v>158.42111111111114</v>
      </c>
      <c r="K105">
        <v>26</v>
      </c>
      <c r="L105" s="7">
        <v>1427.55</v>
      </c>
      <c r="M105" s="11">
        <f t="shared" si="14"/>
        <v>1490.274210526316</v>
      </c>
      <c r="N105">
        <v>26</v>
      </c>
      <c r="O105" s="7">
        <v>373.73</v>
      </c>
      <c r="P105" s="11">
        <f t="shared" si="15"/>
        <v>340.09052631578948</v>
      </c>
      <c r="Q105">
        <v>1</v>
      </c>
      <c r="R105" s="15">
        <v>35.04</v>
      </c>
      <c r="S105" s="11">
        <f t="shared" si="16"/>
        <v>102.51894736842105</v>
      </c>
      <c r="T105" s="8">
        <v>1</v>
      </c>
      <c r="U105" s="8">
        <f t="shared" si="11"/>
        <v>185.00000000000003</v>
      </c>
      <c r="V105" s="11">
        <f t="shared" si="17"/>
        <v>179.35777777777776</v>
      </c>
      <c r="W105" s="11">
        <f t="shared" si="19"/>
        <v>173.08454545454549</v>
      </c>
    </row>
    <row r="106" spans="1:23" x14ac:dyDescent="0.3">
      <c r="A106" s="8">
        <f t="shared" si="18"/>
        <v>7</v>
      </c>
      <c r="B106" s="4">
        <v>39995</v>
      </c>
      <c r="C106" s="7">
        <v>123.27</v>
      </c>
      <c r="D106" s="11">
        <f t="shared" si="12"/>
        <v>111.3</v>
      </c>
      <c r="E106">
        <v>2</v>
      </c>
      <c r="F106" s="7">
        <v>79.95</v>
      </c>
      <c r="G106" s="11">
        <f t="shared" si="20"/>
        <v>43.05</v>
      </c>
      <c r="H106">
        <v>2</v>
      </c>
      <c r="I106" s="7">
        <v>131.63</v>
      </c>
      <c r="J106" s="11">
        <f t="shared" si="13"/>
        <v>111.83722222222222</v>
      </c>
      <c r="K106">
        <v>26</v>
      </c>
      <c r="L106" s="7">
        <v>705.13</v>
      </c>
      <c r="M106" s="11">
        <f t="shared" si="14"/>
        <v>693.74263157894745</v>
      </c>
      <c r="N106">
        <v>26</v>
      </c>
      <c r="O106" s="7">
        <v>261.93</v>
      </c>
      <c r="P106" s="11">
        <f t="shared" si="15"/>
        <v>256.32526315789482</v>
      </c>
      <c r="Q106">
        <v>2</v>
      </c>
      <c r="R106" s="15">
        <v>82.38</v>
      </c>
      <c r="S106" s="11">
        <f t="shared" si="16"/>
        <v>63.705789473684213</v>
      </c>
      <c r="T106" s="8">
        <v>1</v>
      </c>
      <c r="U106" s="8">
        <f t="shared" si="11"/>
        <v>130.30000000000001</v>
      </c>
      <c r="V106" s="11">
        <f t="shared" si="17"/>
        <v>141.94888888888892</v>
      </c>
      <c r="W106" s="11">
        <f t="shared" si="19"/>
        <v>178.83636363636364</v>
      </c>
    </row>
    <row r="107" spans="1:23" x14ac:dyDescent="0.3">
      <c r="A107" s="8">
        <f t="shared" si="18"/>
        <v>8</v>
      </c>
      <c r="B107" s="4">
        <v>40026</v>
      </c>
      <c r="C107" s="7">
        <v>61.88</v>
      </c>
      <c r="D107" s="11">
        <f t="shared" si="12"/>
        <v>92.337894736842102</v>
      </c>
      <c r="E107">
        <v>2</v>
      </c>
      <c r="F107" s="7">
        <v>72.27</v>
      </c>
      <c r="G107" s="11">
        <f t="shared" si="20"/>
        <v>45.191428571428567</v>
      </c>
      <c r="H107">
        <v>2</v>
      </c>
      <c r="I107" s="7">
        <v>103.78</v>
      </c>
      <c r="J107" s="11">
        <f t="shared" si="13"/>
        <v>89.390555555555537</v>
      </c>
      <c r="K107">
        <v>26</v>
      </c>
      <c r="L107" s="7">
        <v>435.51</v>
      </c>
      <c r="M107" s="11">
        <f t="shared" si="14"/>
        <v>417.0510526315789</v>
      </c>
      <c r="N107">
        <v>1</v>
      </c>
      <c r="O107" s="7">
        <v>220.83</v>
      </c>
      <c r="P107" s="11">
        <f t="shared" si="15"/>
        <v>208.76473684210529</v>
      </c>
      <c r="Q107">
        <v>2</v>
      </c>
      <c r="R107" s="15">
        <v>44.45</v>
      </c>
      <c r="S107" s="11">
        <f t="shared" si="16"/>
        <v>39.715789473684218</v>
      </c>
      <c r="T107" s="8">
        <v>1</v>
      </c>
      <c r="U107" s="8">
        <f t="shared" si="11"/>
        <v>117.05000000000001</v>
      </c>
      <c r="V107" s="11">
        <f t="shared" si="17"/>
        <v>118.48611111111111</v>
      </c>
      <c r="W107" s="11">
        <f t="shared" si="19"/>
        <v>183.77272727272728</v>
      </c>
    </row>
    <row r="108" spans="1:23" x14ac:dyDescent="0.3">
      <c r="A108" s="8">
        <f t="shared" si="18"/>
        <v>9</v>
      </c>
      <c r="B108" s="4">
        <v>40057</v>
      </c>
      <c r="C108" s="7">
        <v>28.14</v>
      </c>
      <c r="D108" s="11">
        <f t="shared" si="12"/>
        <v>72.209473684210522</v>
      </c>
      <c r="E108">
        <v>2</v>
      </c>
      <c r="F108" s="7">
        <v>63.09</v>
      </c>
      <c r="G108" s="11">
        <f t="shared" si="20"/>
        <v>44.037692307692296</v>
      </c>
      <c r="H108">
        <v>2</v>
      </c>
      <c r="I108" s="7">
        <v>74.97</v>
      </c>
      <c r="J108" s="11">
        <f t="shared" si="13"/>
        <v>64.317222222222213</v>
      </c>
      <c r="K108">
        <v>26</v>
      </c>
      <c r="L108" s="7">
        <v>314.19</v>
      </c>
      <c r="M108" s="11">
        <f t="shared" si="14"/>
        <v>300.97526315789474</v>
      </c>
      <c r="N108">
        <v>1</v>
      </c>
      <c r="O108" s="7">
        <v>194.34</v>
      </c>
      <c r="P108" s="11">
        <f t="shared" si="15"/>
        <v>173.37368421052631</v>
      </c>
      <c r="Q108">
        <v>2</v>
      </c>
      <c r="R108" s="15">
        <v>18.88</v>
      </c>
      <c r="S108" s="11">
        <f t="shared" si="16"/>
        <v>68.976315789473688</v>
      </c>
      <c r="T108" s="8">
        <v>1</v>
      </c>
      <c r="U108" s="8">
        <f t="shared" si="11"/>
        <v>119.37</v>
      </c>
      <c r="V108" s="11">
        <f t="shared" si="17"/>
        <v>108.505</v>
      </c>
      <c r="W108" s="11">
        <f t="shared" si="19"/>
        <v>186.52545454545452</v>
      </c>
    </row>
    <row r="109" spans="1:23" x14ac:dyDescent="0.3">
      <c r="A109" s="8">
        <f t="shared" si="18"/>
        <v>10</v>
      </c>
      <c r="B109" s="4">
        <v>40087</v>
      </c>
      <c r="C109" s="7">
        <v>25.34</v>
      </c>
      <c r="D109" s="11">
        <f t="shared" si="12"/>
        <v>53.688421052631583</v>
      </c>
      <c r="E109">
        <v>2</v>
      </c>
      <c r="F109" s="7">
        <v>55.62</v>
      </c>
      <c r="G109" s="11">
        <f t="shared" si="20"/>
        <v>38.246428571428574</v>
      </c>
      <c r="H109">
        <v>1</v>
      </c>
      <c r="I109" s="7">
        <v>58.17</v>
      </c>
      <c r="J109" s="11">
        <f t="shared" si="13"/>
        <v>43.578947368421062</v>
      </c>
      <c r="K109">
        <v>26</v>
      </c>
      <c r="L109" s="7">
        <v>254.96</v>
      </c>
      <c r="M109" s="11">
        <f t="shared" si="14"/>
        <v>237.62421052631578</v>
      </c>
      <c r="N109">
        <v>26</v>
      </c>
      <c r="O109" s="7">
        <v>169.41</v>
      </c>
      <c r="P109" s="11">
        <f t="shared" si="15"/>
        <v>143.08473684210523</v>
      </c>
      <c r="Q109">
        <v>2</v>
      </c>
      <c r="R109" s="15">
        <v>19.38</v>
      </c>
      <c r="S109" s="11">
        <f t="shared" si="16"/>
        <v>56.208947368421043</v>
      </c>
      <c r="T109" s="8">
        <v>1</v>
      </c>
      <c r="U109" s="8">
        <f t="shared" ref="U109:U172" si="21">IF(AND(O109&gt;0,I109&gt;0),O109-I109,"")</f>
        <v>111.24</v>
      </c>
      <c r="V109" s="11">
        <f t="shared" si="17"/>
        <v>99.505789473684189</v>
      </c>
      <c r="W109" s="11">
        <f t="shared" si="19"/>
        <v>186.97454545454545</v>
      </c>
    </row>
    <row r="110" spans="1:23" x14ac:dyDescent="0.3">
      <c r="A110" s="8">
        <f t="shared" si="18"/>
        <v>11</v>
      </c>
      <c r="B110" s="4">
        <v>40118</v>
      </c>
      <c r="C110" s="7">
        <v>35.03</v>
      </c>
      <c r="D110" s="11">
        <f t="shared" si="12"/>
        <v>65.729473684210518</v>
      </c>
      <c r="E110">
        <v>2</v>
      </c>
      <c r="F110" s="7">
        <v>44.83</v>
      </c>
      <c r="G110" s="11">
        <f t="shared" si="20"/>
        <v>31.170666666666669</v>
      </c>
      <c r="H110">
        <v>2</v>
      </c>
      <c r="I110" s="7">
        <v>66.290000000000006</v>
      </c>
      <c r="J110" s="11">
        <f t="shared" si="13"/>
        <v>42.795263157894738</v>
      </c>
      <c r="K110">
        <v>26</v>
      </c>
      <c r="L110" s="7">
        <v>264.89</v>
      </c>
      <c r="M110" s="11">
        <f t="shared" si="14"/>
        <v>234.77473684210523</v>
      </c>
      <c r="N110">
        <v>26</v>
      </c>
      <c r="O110" s="7">
        <v>169.17</v>
      </c>
      <c r="P110" s="11">
        <f t="shared" si="15"/>
        <v>138.83421052631579</v>
      </c>
      <c r="Q110">
        <v>2</v>
      </c>
      <c r="R110" s="15">
        <v>224.85</v>
      </c>
      <c r="S110" s="11">
        <f t="shared" si="16"/>
        <v>58.608421052631591</v>
      </c>
      <c r="T110" s="8">
        <v>1</v>
      </c>
      <c r="U110" s="8">
        <f t="shared" si="21"/>
        <v>102.87999999999998</v>
      </c>
      <c r="V110" s="11">
        <f t="shared" si="17"/>
        <v>96.038947368421077</v>
      </c>
      <c r="W110" s="11">
        <f t="shared" si="19"/>
        <v>186.65636363636358</v>
      </c>
    </row>
    <row r="111" spans="1:23" x14ac:dyDescent="0.3">
      <c r="A111" s="8">
        <f t="shared" si="18"/>
        <v>12</v>
      </c>
      <c r="B111" s="4">
        <v>40148</v>
      </c>
      <c r="C111" s="7">
        <v>43.2</v>
      </c>
      <c r="D111" s="11">
        <f t="shared" si="12"/>
        <v>164.87789473684211</v>
      </c>
      <c r="E111">
        <v>2</v>
      </c>
      <c r="F111" s="7">
        <v>42.87</v>
      </c>
      <c r="G111" s="11">
        <f t="shared" si="20"/>
        <v>29.229375000000001</v>
      </c>
      <c r="H111">
        <v>2</v>
      </c>
      <c r="I111" s="7">
        <v>107.47</v>
      </c>
      <c r="J111" s="11">
        <f t="shared" si="13"/>
        <v>123.60999999999999</v>
      </c>
      <c r="K111">
        <v>26</v>
      </c>
      <c r="L111" s="7">
        <v>424.05</v>
      </c>
      <c r="M111" s="11">
        <f t="shared" si="14"/>
        <v>340.84421052631575</v>
      </c>
      <c r="N111">
        <v>1</v>
      </c>
      <c r="O111" s="7">
        <v>192.51</v>
      </c>
      <c r="P111" s="11">
        <f t="shared" si="15"/>
        <v>216.46631578947367</v>
      </c>
      <c r="Q111">
        <v>2</v>
      </c>
      <c r="R111" s="15">
        <v>196.5</v>
      </c>
      <c r="S111" s="11">
        <f t="shared" si="16"/>
        <v>129.68894736842105</v>
      </c>
      <c r="T111" s="8">
        <v>1</v>
      </c>
      <c r="U111" s="8">
        <f t="shared" si="21"/>
        <v>85.039999999999992</v>
      </c>
      <c r="V111" s="11">
        <f t="shared" si="17"/>
        <v>92.856315789473669</v>
      </c>
      <c r="W111" s="11">
        <f t="shared" si="19"/>
        <v>186.00181818181818</v>
      </c>
    </row>
    <row r="112" spans="1:23" x14ac:dyDescent="0.3">
      <c r="A112" s="8">
        <f t="shared" si="18"/>
        <v>1</v>
      </c>
      <c r="B112" s="4">
        <v>40179</v>
      </c>
      <c r="C112" s="7">
        <v>190.71</v>
      </c>
      <c r="D112" s="11">
        <f t="shared" si="12"/>
        <v>262.35600000000005</v>
      </c>
      <c r="E112">
        <v>2</v>
      </c>
      <c r="F112" s="7">
        <v>42.32</v>
      </c>
      <c r="G112" s="11">
        <f t="shared" si="20"/>
        <v>30.8</v>
      </c>
      <c r="H112">
        <v>2</v>
      </c>
      <c r="I112" s="7">
        <v>441.31</v>
      </c>
      <c r="J112" s="11">
        <f t="shared" si="13"/>
        <v>241.63399999999996</v>
      </c>
      <c r="K112">
        <v>26</v>
      </c>
      <c r="L112" s="7">
        <v>766.1</v>
      </c>
      <c r="M112" s="11">
        <f t="shared" si="14"/>
        <v>671.20894736842092</v>
      </c>
      <c r="N112">
        <v>1</v>
      </c>
      <c r="O112" s="7">
        <v>422.62</v>
      </c>
      <c r="P112" s="11">
        <f t="shared" si="15"/>
        <v>362.94894736842105</v>
      </c>
      <c r="Q112">
        <v>2</v>
      </c>
      <c r="R112" s="15">
        <v>43.13</v>
      </c>
      <c r="S112" s="11">
        <f t="shared" si="16"/>
        <v>90.957368421052621</v>
      </c>
      <c r="T112" s="8">
        <v>1</v>
      </c>
      <c r="U112" s="8"/>
      <c r="V112" s="11">
        <f t="shared" si="17"/>
        <v>126.33499999999998</v>
      </c>
      <c r="W112" s="11">
        <f t="shared" si="19"/>
        <v>186.22636363636363</v>
      </c>
    </row>
    <row r="113" spans="1:23" x14ac:dyDescent="0.3">
      <c r="A113" s="8">
        <f t="shared" si="18"/>
        <v>2</v>
      </c>
      <c r="B113" s="4">
        <v>40210</v>
      </c>
      <c r="C113" s="7">
        <v>287.13</v>
      </c>
      <c r="D113" s="11">
        <f t="shared" si="12"/>
        <v>328.9663157894737</v>
      </c>
      <c r="E113">
        <v>2</v>
      </c>
      <c r="G113" s="11">
        <f t="shared" si="20"/>
        <v>33.1875</v>
      </c>
      <c r="H113">
        <v>151</v>
      </c>
      <c r="I113" s="7">
        <v>479.33</v>
      </c>
      <c r="J113" s="11">
        <f t="shared" si="13"/>
        <v>334.30099999999993</v>
      </c>
      <c r="K113">
        <v>26</v>
      </c>
      <c r="L113" s="7">
        <v>1866.27</v>
      </c>
      <c r="M113" s="11">
        <f t="shared" si="14"/>
        <v>1650.3500000000001</v>
      </c>
      <c r="N113">
        <v>1</v>
      </c>
      <c r="O113" s="7">
        <v>702.14</v>
      </c>
      <c r="P113" s="11">
        <f t="shared" si="15"/>
        <v>463.72789473684207</v>
      </c>
      <c r="Q113">
        <v>2</v>
      </c>
      <c r="R113" s="15"/>
      <c r="S113" s="11">
        <f t="shared" si="16"/>
        <v>109.05882352941175</v>
      </c>
      <c r="T113" s="8">
        <v>254</v>
      </c>
      <c r="U113" s="8">
        <f t="shared" si="21"/>
        <v>222.81</v>
      </c>
      <c r="V113" s="11">
        <f t="shared" si="17"/>
        <v>134.9257894736842</v>
      </c>
      <c r="W113" s="11">
        <f t="shared" si="19"/>
        <v>179.76249999999996</v>
      </c>
    </row>
    <row r="114" spans="1:23" x14ac:dyDescent="0.3">
      <c r="A114" s="8">
        <f t="shared" si="18"/>
        <v>3</v>
      </c>
      <c r="B114" s="4">
        <v>40238</v>
      </c>
      <c r="C114" s="7">
        <v>456.5</v>
      </c>
      <c r="D114" s="11">
        <f t="shared" si="12"/>
        <v>469.14</v>
      </c>
      <c r="E114">
        <v>2</v>
      </c>
      <c r="G114" s="11">
        <f t="shared" si="20"/>
        <v>37.004666666666672</v>
      </c>
      <c r="H114">
        <v>151</v>
      </c>
      <c r="I114" s="7">
        <v>535.87</v>
      </c>
      <c r="J114" s="11">
        <f t="shared" si="13"/>
        <v>431.04200000000003</v>
      </c>
      <c r="K114">
        <v>104</v>
      </c>
      <c r="L114" s="7">
        <v>5407.06</v>
      </c>
      <c r="M114" s="11">
        <f t="shared" si="14"/>
        <v>3124.677368421053</v>
      </c>
      <c r="N114">
        <v>1</v>
      </c>
      <c r="O114" s="7">
        <v>640.48</v>
      </c>
      <c r="P114" s="11">
        <f t="shared" si="15"/>
        <v>565.95157894736838</v>
      </c>
      <c r="Q114">
        <v>2</v>
      </c>
      <c r="R114" s="15">
        <v>372.62</v>
      </c>
      <c r="S114" s="11">
        <f t="shared" si="16"/>
        <v>223.16157894736844</v>
      </c>
      <c r="T114" s="8">
        <v>1</v>
      </c>
      <c r="U114" s="8">
        <f t="shared" si="21"/>
        <v>104.61000000000001</v>
      </c>
      <c r="V114" s="11">
        <f t="shared" si="17"/>
        <v>138.05736842105264</v>
      </c>
      <c r="W114" s="11">
        <f t="shared" si="19"/>
        <v>170.81749999999997</v>
      </c>
    </row>
    <row r="115" spans="1:23" x14ac:dyDescent="0.3">
      <c r="A115" s="8">
        <f t="shared" si="18"/>
        <v>4</v>
      </c>
      <c r="B115" s="4">
        <v>40269</v>
      </c>
      <c r="C115" s="7">
        <v>830.99</v>
      </c>
      <c r="D115" s="11">
        <f t="shared" si="12"/>
        <v>589.29650000000015</v>
      </c>
      <c r="E115">
        <v>2</v>
      </c>
      <c r="F115" s="7">
        <v>43.22</v>
      </c>
      <c r="G115" s="11">
        <f t="shared" si="20"/>
        <v>37.96</v>
      </c>
      <c r="H115">
        <v>2</v>
      </c>
      <c r="I115" s="7">
        <v>803.16</v>
      </c>
      <c r="J115" s="11">
        <f t="shared" si="13"/>
        <v>483.73894736842101</v>
      </c>
      <c r="K115">
        <v>26</v>
      </c>
      <c r="L115" s="7">
        <v>5666.44</v>
      </c>
      <c r="M115" s="11">
        <f t="shared" si="14"/>
        <v>3744.6268421052641</v>
      </c>
      <c r="N115">
        <v>1</v>
      </c>
      <c r="O115" s="7">
        <v>1169.79</v>
      </c>
      <c r="P115" s="11">
        <f t="shared" si="15"/>
        <v>682.00947368421055</v>
      </c>
      <c r="Q115">
        <v>2</v>
      </c>
      <c r="R115" s="15">
        <v>389.42</v>
      </c>
      <c r="S115" s="11">
        <f t="shared" si="16"/>
        <v>222.48684210526312</v>
      </c>
      <c r="T115" s="8">
        <v>1</v>
      </c>
      <c r="U115" s="8">
        <f t="shared" si="21"/>
        <v>366.63</v>
      </c>
      <c r="V115" s="11">
        <f t="shared" si="17"/>
        <v>198.27052631578945</v>
      </c>
      <c r="W115" s="11">
        <f t="shared" si="19"/>
        <v>171.13666666666668</v>
      </c>
    </row>
    <row r="116" spans="1:23" x14ac:dyDescent="0.3">
      <c r="A116" s="8">
        <f t="shared" si="18"/>
        <v>5</v>
      </c>
      <c r="B116" s="4">
        <v>40299</v>
      </c>
      <c r="C116" s="7">
        <v>456.26</v>
      </c>
      <c r="D116" s="11">
        <f t="shared" si="12"/>
        <v>310.70526315789482</v>
      </c>
      <c r="E116">
        <v>2</v>
      </c>
      <c r="F116" s="7">
        <v>45.28</v>
      </c>
      <c r="G116" s="11">
        <f t="shared" si="20"/>
        <v>38.770000000000003</v>
      </c>
      <c r="H116">
        <v>2</v>
      </c>
      <c r="I116" s="7">
        <v>525.38</v>
      </c>
      <c r="J116" s="11">
        <f t="shared" si="13"/>
        <v>306.97578947368419</v>
      </c>
      <c r="K116">
        <v>26</v>
      </c>
      <c r="L116" s="7">
        <v>4616.05</v>
      </c>
      <c r="M116" s="11">
        <f t="shared" si="14"/>
        <v>2961.8094736842104</v>
      </c>
      <c r="N116">
        <v>1</v>
      </c>
      <c r="O116" s="7">
        <v>884.38</v>
      </c>
      <c r="P116" s="11">
        <f t="shared" si="15"/>
        <v>530.60473684210535</v>
      </c>
      <c r="Q116">
        <v>1</v>
      </c>
      <c r="R116" s="15">
        <v>138.91999999999999</v>
      </c>
      <c r="S116" s="11">
        <f t="shared" si="16"/>
        <v>164.41473684210524</v>
      </c>
      <c r="T116" s="8">
        <v>1</v>
      </c>
      <c r="U116" s="8">
        <f t="shared" si="21"/>
        <v>359</v>
      </c>
      <c r="V116" s="11">
        <f t="shared" si="17"/>
        <v>223.628947368421</v>
      </c>
      <c r="W116" s="11">
        <f t="shared" si="19"/>
        <v>149.02083333333334</v>
      </c>
    </row>
    <row r="117" spans="1:23" x14ac:dyDescent="0.3">
      <c r="A117" s="8">
        <f t="shared" si="18"/>
        <v>6</v>
      </c>
      <c r="B117" s="4">
        <v>40330</v>
      </c>
      <c r="C117" s="7">
        <v>173.53</v>
      </c>
      <c r="D117" s="11">
        <f t="shared" si="12"/>
        <v>145.28526315789475</v>
      </c>
      <c r="E117">
        <v>2</v>
      </c>
      <c r="F117" s="7">
        <v>51.03</v>
      </c>
      <c r="G117" s="11">
        <f t="shared" si="20"/>
        <v>40.809285714285714</v>
      </c>
      <c r="H117">
        <v>2</v>
      </c>
      <c r="I117" s="7">
        <v>261.38</v>
      </c>
      <c r="J117" s="11">
        <f t="shared" si="13"/>
        <v>158.42111111111114</v>
      </c>
      <c r="K117">
        <v>26</v>
      </c>
      <c r="L117" s="7">
        <v>2180.15</v>
      </c>
      <c r="M117" s="11">
        <f t="shared" si="14"/>
        <v>1490.274210526316</v>
      </c>
      <c r="N117">
        <v>2</v>
      </c>
      <c r="O117" s="7">
        <v>509.65</v>
      </c>
      <c r="P117" s="11">
        <f t="shared" si="15"/>
        <v>340.09052631578948</v>
      </c>
      <c r="Q117">
        <v>1</v>
      </c>
      <c r="R117" s="15">
        <v>87.85</v>
      </c>
      <c r="S117" s="11">
        <f t="shared" si="16"/>
        <v>102.51894736842105</v>
      </c>
      <c r="T117" s="8">
        <v>1</v>
      </c>
      <c r="U117" s="8">
        <f t="shared" si="21"/>
        <v>248.26999999999998</v>
      </c>
      <c r="V117" s="11">
        <f t="shared" si="17"/>
        <v>179.35777777777776</v>
      </c>
      <c r="W117" s="11">
        <f t="shared" si="19"/>
        <v>127.74833333333333</v>
      </c>
    </row>
    <row r="118" spans="1:23" x14ac:dyDescent="0.3">
      <c r="A118" s="8">
        <f t="shared" si="18"/>
        <v>7</v>
      </c>
      <c r="B118" s="4">
        <v>40360</v>
      </c>
      <c r="C118" s="7">
        <v>106.63</v>
      </c>
      <c r="D118" s="11">
        <f t="shared" si="12"/>
        <v>111.3</v>
      </c>
      <c r="E118">
        <v>2</v>
      </c>
      <c r="F118" s="7">
        <v>73.760000000000005</v>
      </c>
      <c r="G118" s="11">
        <f t="shared" si="20"/>
        <v>43.05</v>
      </c>
      <c r="H118">
        <v>2</v>
      </c>
      <c r="I118" s="7">
        <v>186.92</v>
      </c>
      <c r="J118" s="11">
        <f t="shared" si="13"/>
        <v>111.83722222222222</v>
      </c>
      <c r="K118">
        <v>26</v>
      </c>
      <c r="L118" s="7">
        <v>1094.76</v>
      </c>
      <c r="M118" s="11">
        <f t="shared" si="14"/>
        <v>693.74263157894745</v>
      </c>
      <c r="N118">
        <v>2</v>
      </c>
      <c r="O118" s="7">
        <v>371.52</v>
      </c>
      <c r="P118" s="11">
        <f t="shared" si="15"/>
        <v>256.32526315789482</v>
      </c>
      <c r="Q118">
        <v>1</v>
      </c>
      <c r="R118" s="15">
        <v>74.83</v>
      </c>
      <c r="S118" s="11">
        <f t="shared" si="16"/>
        <v>63.705789473684213</v>
      </c>
      <c r="T118" s="8">
        <v>1</v>
      </c>
      <c r="U118" s="8">
        <f t="shared" si="21"/>
        <v>184.6</v>
      </c>
      <c r="V118" s="11">
        <f t="shared" si="17"/>
        <v>141.94888888888892</v>
      </c>
      <c r="W118" s="11">
        <f t="shared" si="19"/>
        <v>121.46083333333331</v>
      </c>
    </row>
    <row r="119" spans="1:23" x14ac:dyDescent="0.3">
      <c r="A119" s="8">
        <f t="shared" si="18"/>
        <v>8</v>
      </c>
      <c r="B119" s="4">
        <v>40391</v>
      </c>
      <c r="C119" s="7">
        <v>80.19</v>
      </c>
      <c r="D119" s="11">
        <f t="shared" si="12"/>
        <v>92.337894736842102</v>
      </c>
      <c r="E119">
        <v>2</v>
      </c>
      <c r="F119" s="7">
        <v>73.27</v>
      </c>
      <c r="G119" s="11">
        <f t="shared" si="20"/>
        <v>45.191428571428567</v>
      </c>
      <c r="H119">
        <v>2</v>
      </c>
      <c r="I119" s="7">
        <v>138.69</v>
      </c>
      <c r="J119" s="11">
        <f t="shared" si="13"/>
        <v>89.390555555555537</v>
      </c>
      <c r="K119">
        <v>26</v>
      </c>
      <c r="L119" s="7">
        <v>624.26</v>
      </c>
      <c r="M119" s="11">
        <f t="shared" si="14"/>
        <v>417.0510526315789</v>
      </c>
      <c r="N119">
        <v>2</v>
      </c>
      <c r="O119" s="7">
        <v>286.02</v>
      </c>
      <c r="P119" s="11">
        <f t="shared" si="15"/>
        <v>208.76473684210529</v>
      </c>
      <c r="Q119">
        <v>1</v>
      </c>
      <c r="R119" s="15">
        <v>59.46</v>
      </c>
      <c r="S119" s="11">
        <f t="shared" si="16"/>
        <v>39.715789473684218</v>
      </c>
      <c r="T119" s="8">
        <v>1</v>
      </c>
      <c r="U119" s="8">
        <f t="shared" si="21"/>
        <v>147.32999999999998</v>
      </c>
      <c r="V119" s="11">
        <f t="shared" si="17"/>
        <v>118.48611111111111</v>
      </c>
      <c r="W119" s="11">
        <f t="shared" si="19"/>
        <v>120.07333333333334</v>
      </c>
    </row>
    <row r="120" spans="1:23" x14ac:dyDescent="0.3">
      <c r="A120" s="8">
        <f t="shared" si="18"/>
        <v>9</v>
      </c>
      <c r="B120" s="4">
        <v>40422</v>
      </c>
      <c r="C120" s="7">
        <v>36.92</v>
      </c>
      <c r="D120" s="11">
        <f t="shared" si="12"/>
        <v>72.209473684210522</v>
      </c>
      <c r="E120">
        <v>2</v>
      </c>
      <c r="F120" s="7">
        <v>64.88</v>
      </c>
      <c r="G120" s="11">
        <f t="shared" si="20"/>
        <v>44.037692307692296</v>
      </c>
      <c r="H120">
        <v>2</v>
      </c>
      <c r="I120" s="7">
        <v>98.22</v>
      </c>
      <c r="J120" s="11">
        <f t="shared" si="13"/>
        <v>64.317222222222213</v>
      </c>
      <c r="K120">
        <v>26</v>
      </c>
      <c r="L120" s="7">
        <v>423.09</v>
      </c>
      <c r="M120" s="11">
        <f t="shared" si="14"/>
        <v>300.97526315789474</v>
      </c>
      <c r="N120">
        <v>2</v>
      </c>
      <c r="O120" s="7">
        <v>222.53</v>
      </c>
      <c r="P120" s="11">
        <f t="shared" si="15"/>
        <v>173.37368421052631</v>
      </c>
      <c r="Q120">
        <v>1</v>
      </c>
      <c r="R120" s="15">
        <v>47.26</v>
      </c>
      <c r="S120" s="11">
        <f t="shared" si="16"/>
        <v>68.976315789473688</v>
      </c>
      <c r="T120" s="8">
        <v>1</v>
      </c>
      <c r="U120" s="8">
        <f t="shared" si="21"/>
        <v>124.31</v>
      </c>
      <c r="V120" s="11">
        <f t="shared" si="17"/>
        <v>108.505</v>
      </c>
      <c r="W120" s="11">
        <f t="shared" si="19"/>
        <v>119.28333333333335</v>
      </c>
    </row>
    <row r="121" spans="1:23" x14ac:dyDescent="0.3">
      <c r="A121" s="8">
        <f t="shared" si="18"/>
        <v>10</v>
      </c>
      <c r="B121" s="4">
        <v>40452</v>
      </c>
      <c r="C121" s="7">
        <v>32.46</v>
      </c>
      <c r="D121" s="11">
        <f t="shared" si="12"/>
        <v>53.688421052631583</v>
      </c>
      <c r="E121">
        <v>2</v>
      </c>
      <c r="F121" s="7">
        <v>53.08</v>
      </c>
      <c r="G121" s="11">
        <f t="shared" si="20"/>
        <v>38.246428571428574</v>
      </c>
      <c r="H121">
        <v>2</v>
      </c>
      <c r="I121" s="7">
        <v>63.11</v>
      </c>
      <c r="J121" s="11">
        <f t="shared" si="13"/>
        <v>43.578947368421062</v>
      </c>
      <c r="K121">
        <v>26</v>
      </c>
      <c r="L121" s="7">
        <v>305.95999999999998</v>
      </c>
      <c r="M121" s="11">
        <f t="shared" si="14"/>
        <v>237.62421052631578</v>
      </c>
      <c r="N121">
        <v>2</v>
      </c>
      <c r="O121" s="7">
        <v>170.85</v>
      </c>
      <c r="P121" s="11">
        <f t="shared" si="15"/>
        <v>143.08473684210523</v>
      </c>
      <c r="Q121">
        <v>1</v>
      </c>
      <c r="R121" s="15">
        <v>36.909999999999997</v>
      </c>
      <c r="S121" s="11">
        <f t="shared" si="16"/>
        <v>56.208947368421043</v>
      </c>
      <c r="T121" s="8">
        <v>1</v>
      </c>
      <c r="U121" s="8">
        <f t="shared" si="21"/>
        <v>107.74</v>
      </c>
      <c r="V121" s="11">
        <f t="shared" si="17"/>
        <v>99.505789473684189</v>
      </c>
      <c r="W121" s="11">
        <f t="shared" si="19"/>
        <v>119.87500000000001</v>
      </c>
    </row>
    <row r="122" spans="1:23" x14ac:dyDescent="0.3">
      <c r="A122" s="8">
        <f t="shared" si="18"/>
        <v>11</v>
      </c>
      <c r="B122" s="4">
        <v>40483</v>
      </c>
      <c r="C122" s="7">
        <v>22.08</v>
      </c>
      <c r="D122" s="11">
        <f t="shared" si="12"/>
        <v>65.729473684210518</v>
      </c>
      <c r="E122">
        <v>2</v>
      </c>
      <c r="F122" s="7">
        <v>44.94</v>
      </c>
      <c r="G122" s="11">
        <f t="shared" si="20"/>
        <v>31.170666666666669</v>
      </c>
      <c r="H122">
        <v>2</v>
      </c>
      <c r="I122" s="7">
        <v>51.25</v>
      </c>
      <c r="J122" s="11">
        <f t="shared" si="13"/>
        <v>42.795263157894738</v>
      </c>
      <c r="K122">
        <v>104</v>
      </c>
      <c r="L122" s="7">
        <v>271.39</v>
      </c>
      <c r="M122" s="11">
        <f t="shared" si="14"/>
        <v>234.77473684210523</v>
      </c>
      <c r="N122">
        <v>2</v>
      </c>
      <c r="O122" s="7">
        <v>146.93</v>
      </c>
      <c r="P122" s="11">
        <f t="shared" si="15"/>
        <v>138.83421052631579</v>
      </c>
      <c r="Q122">
        <v>1</v>
      </c>
      <c r="R122" s="15">
        <v>30.59</v>
      </c>
      <c r="S122" s="11">
        <f t="shared" si="16"/>
        <v>58.608421052631591</v>
      </c>
      <c r="T122" s="8">
        <v>1</v>
      </c>
      <c r="U122" s="8">
        <f t="shared" si="21"/>
        <v>95.68</v>
      </c>
      <c r="V122" s="11">
        <f t="shared" si="17"/>
        <v>96.038947368421077</v>
      </c>
      <c r="W122" s="11">
        <f t="shared" si="19"/>
        <v>122.82750000000003</v>
      </c>
    </row>
    <row r="123" spans="1:23" x14ac:dyDescent="0.3">
      <c r="A123" s="8">
        <f t="shared" si="18"/>
        <v>12</v>
      </c>
      <c r="B123" s="4">
        <v>40513</v>
      </c>
      <c r="C123" s="7">
        <v>169.6</v>
      </c>
      <c r="D123" s="11">
        <f t="shared" si="12"/>
        <v>164.87789473684211</v>
      </c>
      <c r="E123">
        <v>2</v>
      </c>
      <c r="F123" s="7">
        <v>42.2</v>
      </c>
      <c r="G123" s="11">
        <f t="shared" si="20"/>
        <v>29.229375000000001</v>
      </c>
      <c r="H123">
        <v>1</v>
      </c>
      <c r="I123" s="7">
        <v>215.29</v>
      </c>
      <c r="J123" s="11">
        <f t="shared" si="13"/>
        <v>123.60999999999999</v>
      </c>
      <c r="K123">
        <v>26</v>
      </c>
      <c r="L123" s="7">
        <v>403.7</v>
      </c>
      <c r="M123" s="11">
        <f t="shared" si="14"/>
        <v>340.84421052631575</v>
      </c>
      <c r="N123">
        <v>1</v>
      </c>
      <c r="O123" s="7">
        <v>302.8</v>
      </c>
      <c r="P123" s="11">
        <f t="shared" si="15"/>
        <v>216.46631578947367</v>
      </c>
      <c r="Q123">
        <v>77</v>
      </c>
      <c r="R123" s="15">
        <v>83.68</v>
      </c>
      <c r="S123" s="11">
        <f t="shared" si="16"/>
        <v>129.68894736842105</v>
      </c>
      <c r="T123" s="8">
        <v>1</v>
      </c>
      <c r="U123" s="8">
        <f t="shared" si="21"/>
        <v>87.510000000000019</v>
      </c>
      <c r="V123" s="11">
        <f t="shared" si="17"/>
        <v>92.856315789473669</v>
      </c>
      <c r="W123" s="11">
        <f t="shared" si="19"/>
        <v>126.55833333333335</v>
      </c>
    </row>
    <row r="124" spans="1:23" x14ac:dyDescent="0.3">
      <c r="A124" s="8">
        <f t="shared" si="18"/>
        <v>1</v>
      </c>
      <c r="B124" s="4">
        <v>40544</v>
      </c>
      <c r="C124" s="7">
        <v>597.54</v>
      </c>
      <c r="D124" s="11">
        <f t="shared" si="12"/>
        <v>262.35600000000005</v>
      </c>
      <c r="E124">
        <v>2</v>
      </c>
      <c r="F124" s="7">
        <v>39.19</v>
      </c>
      <c r="G124" s="11">
        <f t="shared" si="20"/>
        <v>30.8</v>
      </c>
      <c r="H124">
        <v>1</v>
      </c>
      <c r="I124" s="7">
        <v>534.64</v>
      </c>
      <c r="J124" s="11">
        <f t="shared" si="13"/>
        <v>241.63399999999996</v>
      </c>
      <c r="K124">
        <v>26</v>
      </c>
      <c r="L124" s="7">
        <v>1335.23</v>
      </c>
      <c r="M124" s="11">
        <f t="shared" si="14"/>
        <v>671.20894736842092</v>
      </c>
      <c r="N124">
        <v>2</v>
      </c>
      <c r="O124" s="7">
        <v>643.29999999999995</v>
      </c>
      <c r="P124" s="11">
        <f t="shared" si="15"/>
        <v>362.94894736842105</v>
      </c>
      <c r="Q124">
        <v>77</v>
      </c>
      <c r="R124" s="15"/>
      <c r="S124" s="11">
        <f t="shared" si="16"/>
        <v>90.957368421052621</v>
      </c>
      <c r="T124" s="8">
        <v>254</v>
      </c>
      <c r="U124" s="8">
        <f t="shared" si="21"/>
        <v>108.65999999999997</v>
      </c>
      <c r="V124" s="11">
        <f t="shared" si="17"/>
        <v>126.33499999999998</v>
      </c>
      <c r="W124" s="11">
        <f t="shared" si="19"/>
        <v>129.58916666666667</v>
      </c>
    </row>
    <row r="125" spans="1:23" x14ac:dyDescent="0.3">
      <c r="A125" s="8">
        <f t="shared" si="18"/>
        <v>2</v>
      </c>
      <c r="B125" s="4">
        <v>40575</v>
      </c>
      <c r="C125" s="7">
        <v>594.9</v>
      </c>
      <c r="D125" s="11">
        <f t="shared" si="12"/>
        <v>328.9663157894737</v>
      </c>
      <c r="E125">
        <v>2</v>
      </c>
      <c r="F125" s="7">
        <v>44.16</v>
      </c>
      <c r="G125" s="11">
        <f t="shared" si="20"/>
        <v>33.1875</v>
      </c>
      <c r="H125">
        <v>1</v>
      </c>
      <c r="I125" s="7">
        <v>436.1</v>
      </c>
      <c r="J125" s="11">
        <f t="shared" si="13"/>
        <v>334.30099999999993</v>
      </c>
      <c r="K125">
        <v>26</v>
      </c>
      <c r="L125" s="7">
        <v>3436.92</v>
      </c>
      <c r="M125" s="11">
        <f t="shared" si="14"/>
        <v>1650.3500000000001</v>
      </c>
      <c r="N125">
        <v>2</v>
      </c>
      <c r="O125" s="7">
        <v>551.57000000000005</v>
      </c>
      <c r="P125" s="11">
        <f t="shared" si="15"/>
        <v>463.72789473684207</v>
      </c>
      <c r="Q125">
        <v>77</v>
      </c>
      <c r="R125" s="15"/>
      <c r="S125" s="11">
        <f t="shared" si="16"/>
        <v>109.05882352941175</v>
      </c>
      <c r="T125" s="8">
        <v>254</v>
      </c>
      <c r="U125" s="8">
        <f t="shared" si="21"/>
        <v>115.47000000000003</v>
      </c>
      <c r="V125" s="11">
        <f t="shared" si="17"/>
        <v>134.9257894736842</v>
      </c>
      <c r="W125" s="11">
        <f t="shared" si="19"/>
        <v>143.54666666666671</v>
      </c>
    </row>
    <row r="126" spans="1:23" x14ac:dyDescent="0.3">
      <c r="A126" s="8">
        <f t="shared" si="18"/>
        <v>3</v>
      </c>
      <c r="B126" s="4">
        <v>40603</v>
      </c>
      <c r="C126" s="7">
        <v>1433.62</v>
      </c>
      <c r="D126" s="11">
        <f t="shared" si="12"/>
        <v>469.14</v>
      </c>
      <c r="E126">
        <v>150</v>
      </c>
      <c r="F126" s="7">
        <v>51.23</v>
      </c>
      <c r="G126" s="11">
        <f t="shared" si="20"/>
        <v>37.004666666666672</v>
      </c>
      <c r="H126">
        <v>2</v>
      </c>
      <c r="I126" s="7">
        <v>712.26</v>
      </c>
      <c r="J126" s="11">
        <f t="shared" si="13"/>
        <v>431.04200000000003</v>
      </c>
      <c r="K126">
        <v>26</v>
      </c>
      <c r="L126" s="7">
        <v>4685.88</v>
      </c>
      <c r="M126" s="11">
        <f t="shared" si="14"/>
        <v>3124.677368421053</v>
      </c>
      <c r="N126">
        <v>1</v>
      </c>
      <c r="O126" s="7">
        <v>820.7</v>
      </c>
      <c r="P126" s="11">
        <f t="shared" si="15"/>
        <v>565.95157894736838</v>
      </c>
      <c r="Q126">
        <v>77</v>
      </c>
      <c r="R126" s="15">
        <v>861.33</v>
      </c>
      <c r="S126" s="11">
        <f t="shared" si="16"/>
        <v>223.16157894736844</v>
      </c>
      <c r="T126" s="8">
        <v>1</v>
      </c>
      <c r="U126" s="8">
        <f t="shared" si="21"/>
        <v>108.44000000000005</v>
      </c>
      <c r="V126" s="11">
        <f t="shared" si="17"/>
        <v>138.05736842105264</v>
      </c>
      <c r="W126" s="11">
        <f t="shared" si="19"/>
        <v>152.09583333333333</v>
      </c>
    </row>
    <row r="127" spans="1:23" x14ac:dyDescent="0.3">
      <c r="A127" s="8">
        <f t="shared" si="18"/>
        <v>4</v>
      </c>
      <c r="B127" s="4">
        <v>40634</v>
      </c>
      <c r="C127" s="7">
        <v>1403.13</v>
      </c>
      <c r="D127" s="11">
        <f t="shared" si="12"/>
        <v>589.29650000000015</v>
      </c>
      <c r="E127">
        <v>2</v>
      </c>
      <c r="F127" s="7">
        <v>50.23</v>
      </c>
      <c r="G127" s="11">
        <f t="shared" si="20"/>
        <v>37.96</v>
      </c>
      <c r="H127">
        <v>2</v>
      </c>
      <c r="I127" s="7">
        <v>757.11</v>
      </c>
      <c r="J127" s="11">
        <f t="shared" si="13"/>
        <v>483.73894736842101</v>
      </c>
      <c r="K127">
        <v>26</v>
      </c>
      <c r="L127" s="7">
        <v>5332.4</v>
      </c>
      <c r="M127" s="11">
        <f t="shared" si="14"/>
        <v>3744.6268421052641</v>
      </c>
      <c r="N127">
        <v>1</v>
      </c>
      <c r="O127" s="7">
        <v>858.35</v>
      </c>
      <c r="P127" s="11">
        <f t="shared" si="15"/>
        <v>682.00947368421055</v>
      </c>
      <c r="Q127">
        <v>77</v>
      </c>
      <c r="R127" s="15">
        <v>943.41</v>
      </c>
      <c r="S127" s="11">
        <f t="shared" si="16"/>
        <v>222.48684210526312</v>
      </c>
      <c r="T127" s="8">
        <v>1</v>
      </c>
      <c r="U127" s="8">
        <f t="shared" si="21"/>
        <v>101.24000000000001</v>
      </c>
      <c r="V127" s="11">
        <f t="shared" si="17"/>
        <v>198.27052631578945</v>
      </c>
      <c r="W127" s="11">
        <f t="shared" si="19"/>
        <v>152.01333333333335</v>
      </c>
    </row>
    <row r="128" spans="1:23" x14ac:dyDescent="0.3">
      <c r="A128" s="8">
        <f t="shared" si="18"/>
        <v>5</v>
      </c>
      <c r="B128" s="4">
        <v>40664</v>
      </c>
      <c r="C128" s="7">
        <v>920.33</v>
      </c>
      <c r="D128" s="11">
        <f t="shared" si="12"/>
        <v>310.70526315789482</v>
      </c>
      <c r="E128">
        <v>2</v>
      </c>
      <c r="F128" s="7">
        <v>44.04</v>
      </c>
      <c r="G128" s="11">
        <f t="shared" si="20"/>
        <v>38.770000000000003</v>
      </c>
      <c r="H128">
        <v>1</v>
      </c>
      <c r="I128" s="7">
        <v>521.77</v>
      </c>
      <c r="J128" s="11">
        <f t="shared" si="13"/>
        <v>306.97578947368419</v>
      </c>
      <c r="K128">
        <v>26</v>
      </c>
      <c r="L128" s="7">
        <v>4132.87</v>
      </c>
      <c r="M128" s="11">
        <f t="shared" si="14"/>
        <v>2961.8094736842104</v>
      </c>
      <c r="N128">
        <v>1</v>
      </c>
      <c r="O128" s="7">
        <v>625.5</v>
      </c>
      <c r="P128" s="11">
        <f t="shared" si="15"/>
        <v>530.60473684210535</v>
      </c>
      <c r="Q128">
        <v>77</v>
      </c>
      <c r="R128" s="15">
        <v>748.55</v>
      </c>
      <c r="S128" s="11">
        <f t="shared" si="16"/>
        <v>164.41473684210524</v>
      </c>
      <c r="T128" s="8">
        <v>1</v>
      </c>
      <c r="U128" s="8">
        <f t="shared" si="21"/>
        <v>103.73000000000002</v>
      </c>
      <c r="V128" s="11">
        <f t="shared" si="17"/>
        <v>223.628947368421</v>
      </c>
      <c r="W128" s="11">
        <f t="shared" si="19"/>
        <v>171.22833333333332</v>
      </c>
    </row>
    <row r="129" spans="1:23" x14ac:dyDescent="0.3">
      <c r="A129" s="8">
        <f t="shared" si="18"/>
        <v>6</v>
      </c>
      <c r="B129" s="4">
        <v>40695</v>
      </c>
      <c r="C129" s="7">
        <v>311.79000000000002</v>
      </c>
      <c r="D129" s="11">
        <f t="shared" si="12"/>
        <v>145.28526315789475</v>
      </c>
      <c r="E129">
        <v>2</v>
      </c>
      <c r="F129" s="7">
        <v>42.25</v>
      </c>
      <c r="G129" s="11">
        <f t="shared" si="20"/>
        <v>40.809285714285714</v>
      </c>
      <c r="H129">
        <v>1</v>
      </c>
      <c r="I129" s="7">
        <v>274.85000000000002</v>
      </c>
      <c r="J129" s="11">
        <f t="shared" si="13"/>
        <v>158.42111111111114</v>
      </c>
      <c r="K129">
        <v>26</v>
      </c>
      <c r="L129" s="7">
        <v>1917.98</v>
      </c>
      <c r="M129" s="11">
        <f t="shared" si="14"/>
        <v>1490.274210526316</v>
      </c>
      <c r="N129">
        <v>1</v>
      </c>
      <c r="O129" s="7">
        <v>447.67</v>
      </c>
      <c r="P129" s="11">
        <f t="shared" si="15"/>
        <v>340.09052631578948</v>
      </c>
      <c r="Q129">
        <v>77</v>
      </c>
      <c r="R129" s="15">
        <v>755.71</v>
      </c>
      <c r="S129" s="11">
        <f t="shared" si="16"/>
        <v>102.51894736842105</v>
      </c>
      <c r="T129" s="8">
        <v>1</v>
      </c>
      <c r="U129" s="8">
        <f t="shared" si="21"/>
        <v>172.82</v>
      </c>
      <c r="V129" s="11">
        <f t="shared" si="17"/>
        <v>179.35777777777776</v>
      </c>
      <c r="W129" s="11">
        <f t="shared" si="19"/>
        <v>181.39416666666662</v>
      </c>
    </row>
    <row r="130" spans="1:23" x14ac:dyDescent="0.3">
      <c r="A130" s="8">
        <f t="shared" si="18"/>
        <v>7</v>
      </c>
      <c r="B130" s="4">
        <v>40725</v>
      </c>
      <c r="C130" s="7">
        <v>207.79</v>
      </c>
      <c r="D130" s="11">
        <f t="shared" si="12"/>
        <v>111.3</v>
      </c>
      <c r="E130">
        <v>2</v>
      </c>
      <c r="F130" s="7">
        <v>46.2</v>
      </c>
      <c r="G130" s="11">
        <f t="shared" si="20"/>
        <v>43.05</v>
      </c>
      <c r="H130">
        <v>1</v>
      </c>
      <c r="I130" s="7">
        <v>198.34</v>
      </c>
      <c r="J130" s="11">
        <f t="shared" si="13"/>
        <v>111.83722222222222</v>
      </c>
      <c r="K130">
        <v>26</v>
      </c>
      <c r="L130" s="7">
        <v>950.02</v>
      </c>
      <c r="M130" s="11">
        <f t="shared" si="14"/>
        <v>693.74263157894745</v>
      </c>
      <c r="N130">
        <v>1</v>
      </c>
      <c r="O130" s="7">
        <v>366.29</v>
      </c>
      <c r="P130" s="11">
        <f t="shared" si="15"/>
        <v>256.32526315789482</v>
      </c>
      <c r="Q130">
        <v>2</v>
      </c>
      <c r="R130" s="15">
        <v>341.63</v>
      </c>
      <c r="S130" s="11">
        <f t="shared" si="16"/>
        <v>63.705789473684213</v>
      </c>
      <c r="T130" s="8">
        <v>1</v>
      </c>
      <c r="U130" s="8">
        <f t="shared" si="21"/>
        <v>167.95000000000002</v>
      </c>
      <c r="V130" s="11">
        <f t="shared" si="17"/>
        <v>141.94888888888892</v>
      </c>
      <c r="W130" s="11">
        <f t="shared" si="19"/>
        <v>182.36416666666665</v>
      </c>
    </row>
    <row r="131" spans="1:23" x14ac:dyDescent="0.3">
      <c r="A131" s="8">
        <f t="shared" si="18"/>
        <v>8</v>
      </c>
      <c r="B131" s="4">
        <v>40756</v>
      </c>
      <c r="C131" s="7">
        <v>143.22999999999999</v>
      </c>
      <c r="D131" s="11">
        <f t="shared" si="12"/>
        <v>92.337894736842102</v>
      </c>
      <c r="E131">
        <v>2</v>
      </c>
      <c r="F131" s="7">
        <v>54.24</v>
      </c>
      <c r="G131" s="11">
        <f t="shared" si="20"/>
        <v>45.191428571428567</v>
      </c>
      <c r="H131">
        <v>1</v>
      </c>
      <c r="I131" s="7">
        <v>161.66999999999999</v>
      </c>
      <c r="J131" s="11">
        <f t="shared" si="13"/>
        <v>89.390555555555537</v>
      </c>
      <c r="K131">
        <v>26</v>
      </c>
      <c r="L131" s="7">
        <v>570.1</v>
      </c>
      <c r="M131" s="11">
        <f t="shared" si="14"/>
        <v>417.0510526315789</v>
      </c>
      <c r="N131">
        <v>26</v>
      </c>
      <c r="O131" s="7">
        <v>299.52</v>
      </c>
      <c r="P131" s="11">
        <f t="shared" si="15"/>
        <v>208.76473684210529</v>
      </c>
      <c r="Q131">
        <v>2</v>
      </c>
      <c r="R131" s="15">
        <v>133.83000000000001</v>
      </c>
      <c r="S131" s="11">
        <f t="shared" si="16"/>
        <v>39.715789473684218</v>
      </c>
      <c r="T131" s="8">
        <v>1</v>
      </c>
      <c r="U131" s="8">
        <f t="shared" si="21"/>
        <v>137.85</v>
      </c>
      <c r="V131" s="11">
        <f t="shared" si="17"/>
        <v>118.48611111111111</v>
      </c>
      <c r="W131" s="11">
        <f t="shared" si="19"/>
        <v>179.76999999999998</v>
      </c>
    </row>
    <row r="132" spans="1:23" x14ac:dyDescent="0.3">
      <c r="A132" s="8">
        <f t="shared" si="18"/>
        <v>9</v>
      </c>
      <c r="B132" s="4">
        <v>40787</v>
      </c>
      <c r="C132" s="7">
        <v>93.09</v>
      </c>
      <c r="D132" s="11">
        <f t="shared" ref="D132:D195" si="22">AVERAGEIF($A$4:$A$236,$A132,C$4:C$236)</f>
        <v>72.209473684210522</v>
      </c>
      <c r="E132">
        <v>2</v>
      </c>
      <c r="F132" s="7">
        <v>54.64</v>
      </c>
      <c r="G132" s="11">
        <f t="shared" si="20"/>
        <v>44.037692307692296</v>
      </c>
      <c r="H132">
        <v>2</v>
      </c>
      <c r="I132" s="7">
        <v>113.27</v>
      </c>
      <c r="J132" s="11">
        <f t="shared" ref="J132:J195" si="23">AVERAGEIF($A$4:$A$236,$A132,I$4:I$236)</f>
        <v>64.317222222222213</v>
      </c>
      <c r="K132">
        <v>26</v>
      </c>
      <c r="L132" s="7">
        <v>392.56</v>
      </c>
      <c r="M132" s="11">
        <f t="shared" ref="M132:M195" si="24">AVERAGEIF($A$4:$A$236,$A132,L$4:L$236)</f>
        <v>300.97526315789474</v>
      </c>
      <c r="N132">
        <v>26</v>
      </c>
      <c r="O132" s="7">
        <v>244.68</v>
      </c>
      <c r="P132" s="11">
        <f t="shared" ref="P132:P195" si="25">AVERAGEIF($A$4:$A$236,$A132,O$4:O$236)</f>
        <v>173.37368421052631</v>
      </c>
      <c r="Q132">
        <v>2</v>
      </c>
      <c r="R132" s="15">
        <v>92.81</v>
      </c>
      <c r="S132" s="11">
        <f t="shared" ref="S132:S195" si="26">AVERAGEIF($A$4:$A$236,$A132,R$4:R$236)</f>
        <v>68.976315789473688</v>
      </c>
      <c r="T132" s="8">
        <v>1</v>
      </c>
      <c r="U132" s="8">
        <f t="shared" si="21"/>
        <v>131.41000000000003</v>
      </c>
      <c r="V132" s="11">
        <f t="shared" ref="V132:V195" si="27">AVERAGEIF($A$4:$A$236,$A132,U$4:U$236)</f>
        <v>108.505</v>
      </c>
      <c r="W132" s="11">
        <f t="shared" si="19"/>
        <v>179.02333333333334</v>
      </c>
    </row>
    <row r="133" spans="1:23" x14ac:dyDescent="0.3">
      <c r="A133" s="8">
        <f t="shared" ref="A133:A196" si="28">MONTH(B133)</f>
        <v>10</v>
      </c>
      <c r="B133" s="4">
        <v>40817</v>
      </c>
      <c r="C133" s="7">
        <v>51.59</v>
      </c>
      <c r="D133" s="11">
        <f t="shared" si="22"/>
        <v>53.688421052631583</v>
      </c>
      <c r="E133">
        <v>2</v>
      </c>
      <c r="F133" s="7">
        <v>48.87</v>
      </c>
      <c r="G133" s="11">
        <f t="shared" si="20"/>
        <v>38.246428571428574</v>
      </c>
      <c r="H133">
        <v>2</v>
      </c>
      <c r="I133" s="7">
        <v>70.84</v>
      </c>
      <c r="J133" s="11">
        <f t="shared" si="23"/>
        <v>43.578947368421062</v>
      </c>
      <c r="K133">
        <v>26</v>
      </c>
      <c r="L133" s="7">
        <v>302.31</v>
      </c>
      <c r="M133" s="11">
        <f t="shared" si="24"/>
        <v>237.62421052631578</v>
      </c>
      <c r="N133">
        <v>26</v>
      </c>
      <c r="O133" s="7">
        <v>214.01</v>
      </c>
      <c r="P133" s="11">
        <f t="shared" si="25"/>
        <v>143.08473684210523</v>
      </c>
      <c r="Q133">
        <v>2</v>
      </c>
      <c r="R133" s="15">
        <v>38.979999999999997</v>
      </c>
      <c r="S133" s="11">
        <f t="shared" si="26"/>
        <v>56.208947368421043</v>
      </c>
      <c r="T133" s="8">
        <v>1</v>
      </c>
      <c r="U133" s="8">
        <f t="shared" si="21"/>
        <v>143.16999999999999</v>
      </c>
      <c r="V133" s="11">
        <f t="shared" si="27"/>
        <v>99.505789473684189</v>
      </c>
      <c r="W133" s="11">
        <f t="shared" ref="W133:W196" si="29">AVERAGE(U133:U144)</f>
        <v>177.82583333333332</v>
      </c>
    </row>
    <row r="134" spans="1:23" x14ac:dyDescent="0.3">
      <c r="A134" s="8">
        <f t="shared" si="28"/>
        <v>11</v>
      </c>
      <c r="B134" s="4">
        <v>40848</v>
      </c>
      <c r="C134" s="7">
        <v>60.46</v>
      </c>
      <c r="D134" s="11">
        <f t="shared" si="22"/>
        <v>65.729473684210518</v>
      </c>
      <c r="E134">
        <v>2</v>
      </c>
      <c r="F134" s="7">
        <v>42.24</v>
      </c>
      <c r="G134" s="11">
        <f t="shared" si="20"/>
        <v>31.170666666666669</v>
      </c>
      <c r="H134">
        <v>1</v>
      </c>
      <c r="I134" s="7">
        <v>54.75</v>
      </c>
      <c r="J134" s="11">
        <f t="shared" si="23"/>
        <v>42.795263157894738</v>
      </c>
      <c r="K134">
        <v>26</v>
      </c>
      <c r="L134" s="7">
        <v>300.91000000000003</v>
      </c>
      <c r="M134" s="11">
        <f t="shared" si="24"/>
        <v>234.77473684210523</v>
      </c>
      <c r="N134">
        <v>26</v>
      </c>
      <c r="O134" s="7">
        <v>195.2</v>
      </c>
      <c r="P134" s="11">
        <f t="shared" si="25"/>
        <v>138.83421052631579</v>
      </c>
      <c r="Q134">
        <v>2</v>
      </c>
      <c r="R134" s="15">
        <v>12.76</v>
      </c>
      <c r="S134" s="11">
        <f t="shared" si="26"/>
        <v>58.608421052631591</v>
      </c>
      <c r="T134" s="8">
        <v>1</v>
      </c>
      <c r="U134" s="8">
        <f t="shared" si="21"/>
        <v>140.44999999999999</v>
      </c>
      <c r="V134" s="11">
        <f t="shared" si="27"/>
        <v>96.038947368421077</v>
      </c>
      <c r="W134" s="11">
        <f t="shared" si="29"/>
        <v>174.51249999999996</v>
      </c>
    </row>
    <row r="135" spans="1:23" x14ac:dyDescent="0.3">
      <c r="A135" s="8">
        <f t="shared" si="28"/>
        <v>12</v>
      </c>
      <c r="B135" s="4">
        <v>40878</v>
      </c>
      <c r="C135" s="7">
        <v>242.6</v>
      </c>
      <c r="D135" s="11">
        <f t="shared" si="22"/>
        <v>164.87789473684211</v>
      </c>
      <c r="E135">
        <v>2</v>
      </c>
      <c r="F135" s="7">
        <v>44.28</v>
      </c>
      <c r="G135" s="11">
        <f t="shared" si="20"/>
        <v>29.229375000000001</v>
      </c>
      <c r="H135">
        <v>2</v>
      </c>
      <c r="I135" s="7">
        <v>266.57</v>
      </c>
      <c r="J135" s="11">
        <f t="shared" si="23"/>
        <v>123.60999999999999</v>
      </c>
      <c r="K135">
        <v>26</v>
      </c>
      <c r="L135" s="7">
        <v>449.5</v>
      </c>
      <c r="M135" s="11">
        <f t="shared" si="24"/>
        <v>340.84421052631575</v>
      </c>
      <c r="N135">
        <v>1</v>
      </c>
      <c r="O135" s="7">
        <v>390.45</v>
      </c>
      <c r="P135" s="11">
        <f t="shared" si="25"/>
        <v>216.46631578947367</v>
      </c>
      <c r="Q135">
        <v>2</v>
      </c>
      <c r="R135" s="15">
        <v>11.56</v>
      </c>
      <c r="S135" s="11">
        <f t="shared" si="26"/>
        <v>129.68894736842105</v>
      </c>
      <c r="T135" s="8">
        <v>1</v>
      </c>
      <c r="U135" s="8">
        <f t="shared" si="21"/>
        <v>123.88</v>
      </c>
      <c r="V135" s="11">
        <f t="shared" si="27"/>
        <v>92.856315789473669</v>
      </c>
      <c r="W135" s="11">
        <f t="shared" si="29"/>
        <v>171.39166666666665</v>
      </c>
    </row>
    <row r="136" spans="1:23" x14ac:dyDescent="0.3">
      <c r="A136" s="8">
        <f t="shared" si="28"/>
        <v>1</v>
      </c>
      <c r="B136" s="4">
        <v>40909</v>
      </c>
      <c r="C136" s="7">
        <v>242.25</v>
      </c>
      <c r="D136" s="11">
        <f t="shared" si="22"/>
        <v>262.35600000000005</v>
      </c>
      <c r="E136">
        <v>2</v>
      </c>
      <c r="F136" s="7">
        <v>42.79</v>
      </c>
      <c r="G136" s="11">
        <f t="shared" si="20"/>
        <v>30.8</v>
      </c>
      <c r="H136">
        <v>1</v>
      </c>
      <c r="I136" s="7">
        <v>390.06</v>
      </c>
      <c r="J136" s="11">
        <f t="shared" si="23"/>
        <v>241.63399999999996</v>
      </c>
      <c r="K136">
        <v>26</v>
      </c>
      <c r="L136" s="7">
        <v>808.28</v>
      </c>
      <c r="M136" s="11">
        <f t="shared" si="24"/>
        <v>671.20894736842092</v>
      </c>
      <c r="N136">
        <v>1</v>
      </c>
      <c r="O136" s="7">
        <v>666.21</v>
      </c>
      <c r="P136" s="11">
        <f t="shared" si="25"/>
        <v>362.94894736842105</v>
      </c>
      <c r="Q136">
        <v>77</v>
      </c>
      <c r="R136" s="15">
        <v>10.46</v>
      </c>
      <c r="S136" s="11">
        <f t="shared" si="26"/>
        <v>90.957368421052621</v>
      </c>
      <c r="T136" s="8">
        <v>1</v>
      </c>
      <c r="U136" s="8">
        <f t="shared" si="21"/>
        <v>276.15000000000003</v>
      </c>
      <c r="V136" s="11">
        <f t="shared" si="27"/>
        <v>126.33499999999998</v>
      </c>
      <c r="W136" s="11">
        <f t="shared" si="29"/>
        <v>168.60833333333332</v>
      </c>
    </row>
    <row r="137" spans="1:23" x14ac:dyDescent="0.3">
      <c r="A137" s="8">
        <f t="shared" si="28"/>
        <v>2</v>
      </c>
      <c r="B137" s="4">
        <v>40940</v>
      </c>
      <c r="C137" s="7">
        <v>324.98</v>
      </c>
      <c r="D137" s="11">
        <f t="shared" si="22"/>
        <v>328.9663157894737</v>
      </c>
      <c r="E137">
        <v>2</v>
      </c>
      <c r="F137" s="7">
        <v>50.54</v>
      </c>
      <c r="G137" s="11">
        <f t="shared" si="20"/>
        <v>33.1875</v>
      </c>
      <c r="H137">
        <v>2</v>
      </c>
      <c r="I137" s="7">
        <v>438.38</v>
      </c>
      <c r="J137" s="11">
        <f t="shared" si="23"/>
        <v>334.30099999999993</v>
      </c>
      <c r="K137">
        <v>26</v>
      </c>
      <c r="L137" s="7">
        <v>1798.7</v>
      </c>
      <c r="M137" s="11">
        <f t="shared" si="24"/>
        <v>1650.3500000000001</v>
      </c>
      <c r="N137">
        <v>1</v>
      </c>
      <c r="O137" s="7">
        <v>656.44</v>
      </c>
      <c r="P137" s="11">
        <f t="shared" si="25"/>
        <v>463.72789473684207</v>
      </c>
      <c r="Q137">
        <v>2</v>
      </c>
      <c r="R137" s="15">
        <v>70.34</v>
      </c>
      <c r="S137" s="11">
        <f t="shared" si="26"/>
        <v>109.05882352941175</v>
      </c>
      <c r="T137" s="8">
        <v>1</v>
      </c>
      <c r="U137" s="8">
        <f t="shared" si="21"/>
        <v>218.06000000000006</v>
      </c>
      <c r="V137" s="11">
        <f t="shared" si="27"/>
        <v>134.9257894736842</v>
      </c>
      <c r="W137" s="11">
        <f t="shared" si="29"/>
        <v>155.49833333333331</v>
      </c>
    </row>
    <row r="138" spans="1:23" x14ac:dyDescent="0.3">
      <c r="A138" s="8">
        <f t="shared" si="28"/>
        <v>3</v>
      </c>
      <c r="B138" s="4">
        <v>40969</v>
      </c>
      <c r="C138" s="7">
        <v>460.27</v>
      </c>
      <c r="D138" s="11">
        <f t="shared" si="22"/>
        <v>469.14</v>
      </c>
      <c r="E138">
        <v>2</v>
      </c>
      <c r="F138" s="7">
        <v>48.65</v>
      </c>
      <c r="G138" s="11">
        <f t="shared" si="20"/>
        <v>37.004666666666672</v>
      </c>
      <c r="H138">
        <v>2</v>
      </c>
      <c r="I138" s="7">
        <v>504.16</v>
      </c>
      <c r="J138" s="11">
        <f t="shared" si="23"/>
        <v>431.04200000000003</v>
      </c>
      <c r="K138">
        <v>26</v>
      </c>
      <c r="L138" s="7">
        <v>2863.89</v>
      </c>
      <c r="M138" s="11">
        <f t="shared" si="24"/>
        <v>3124.677368421053</v>
      </c>
      <c r="N138">
        <v>1</v>
      </c>
      <c r="O138" s="7">
        <v>611.61</v>
      </c>
      <c r="P138" s="11">
        <f t="shared" si="25"/>
        <v>565.95157894736838</v>
      </c>
      <c r="Q138">
        <v>2</v>
      </c>
      <c r="R138" s="15">
        <v>83.27</v>
      </c>
      <c r="S138" s="11">
        <f t="shared" si="26"/>
        <v>223.16157894736844</v>
      </c>
      <c r="T138" s="8">
        <v>1</v>
      </c>
      <c r="U138" s="8">
        <f t="shared" si="21"/>
        <v>107.44999999999999</v>
      </c>
      <c r="V138" s="11">
        <f t="shared" si="27"/>
        <v>138.05736842105264</v>
      </c>
      <c r="W138" s="11">
        <f t="shared" si="29"/>
        <v>148.98916666666665</v>
      </c>
    </row>
    <row r="139" spans="1:23" x14ac:dyDescent="0.3">
      <c r="A139" s="8">
        <f t="shared" si="28"/>
        <v>4</v>
      </c>
      <c r="B139" s="4">
        <v>41000</v>
      </c>
      <c r="C139" s="7">
        <v>509.83</v>
      </c>
      <c r="D139" s="11">
        <f t="shared" si="22"/>
        <v>589.29650000000015</v>
      </c>
      <c r="E139">
        <v>2</v>
      </c>
      <c r="F139" s="7">
        <v>44</v>
      </c>
      <c r="G139" s="11">
        <f t="shared" si="20"/>
        <v>37.96</v>
      </c>
      <c r="H139">
        <v>2</v>
      </c>
      <c r="I139" s="7">
        <v>528.69000000000005</v>
      </c>
      <c r="J139" s="11">
        <f t="shared" si="23"/>
        <v>483.73894736842101</v>
      </c>
      <c r="K139">
        <v>26</v>
      </c>
      <c r="L139" s="7">
        <v>3949.54</v>
      </c>
      <c r="M139" s="11">
        <f t="shared" si="24"/>
        <v>3744.6268421052641</v>
      </c>
      <c r="N139">
        <v>1</v>
      </c>
      <c r="O139" s="7">
        <v>860.51</v>
      </c>
      <c r="P139" s="11">
        <f t="shared" si="25"/>
        <v>682.00947368421055</v>
      </c>
      <c r="Q139">
        <v>2</v>
      </c>
      <c r="R139" s="15">
        <v>96.31</v>
      </c>
      <c r="S139" s="11">
        <f t="shared" si="26"/>
        <v>222.48684210526312</v>
      </c>
      <c r="T139" s="8">
        <v>1</v>
      </c>
      <c r="U139" s="8">
        <f t="shared" si="21"/>
        <v>331.81999999999994</v>
      </c>
      <c r="V139" s="11">
        <f t="shared" si="27"/>
        <v>198.27052631578945</v>
      </c>
      <c r="W139" s="11">
        <f t="shared" si="29"/>
        <v>153.495</v>
      </c>
    </row>
    <row r="140" spans="1:23" x14ac:dyDescent="0.3">
      <c r="A140" s="8">
        <f t="shared" si="28"/>
        <v>5</v>
      </c>
      <c r="B140" s="4">
        <v>41030</v>
      </c>
      <c r="C140" s="7">
        <v>176.5</v>
      </c>
      <c r="D140" s="11">
        <f t="shared" si="22"/>
        <v>310.70526315789482</v>
      </c>
      <c r="E140">
        <v>2</v>
      </c>
      <c r="G140" s="11">
        <f t="shared" si="20"/>
        <v>38.770000000000003</v>
      </c>
      <c r="H140">
        <v>151</v>
      </c>
      <c r="I140" s="7">
        <v>217.46</v>
      </c>
      <c r="J140" s="11">
        <f t="shared" si="23"/>
        <v>306.97578947368419</v>
      </c>
      <c r="K140">
        <v>26</v>
      </c>
      <c r="L140" s="7">
        <v>3222.21</v>
      </c>
      <c r="M140" s="11">
        <f t="shared" si="24"/>
        <v>2961.8094736842104</v>
      </c>
      <c r="N140">
        <v>1</v>
      </c>
      <c r="O140" s="7">
        <v>443.18</v>
      </c>
      <c r="P140" s="11">
        <f t="shared" si="25"/>
        <v>530.60473684210535</v>
      </c>
      <c r="Q140">
        <v>1</v>
      </c>
      <c r="R140" s="15">
        <v>81.96</v>
      </c>
      <c r="S140" s="11">
        <f t="shared" si="26"/>
        <v>164.41473684210524</v>
      </c>
      <c r="T140" s="8">
        <v>1</v>
      </c>
      <c r="U140" s="8">
        <f t="shared" si="21"/>
        <v>225.72</v>
      </c>
      <c r="V140" s="11">
        <f t="shared" si="27"/>
        <v>223.628947368421</v>
      </c>
      <c r="W140" s="11">
        <f t="shared" si="29"/>
        <v>141.75666666666666</v>
      </c>
    </row>
    <row r="141" spans="1:23" x14ac:dyDescent="0.3">
      <c r="A141" s="8">
        <f t="shared" si="28"/>
        <v>6</v>
      </c>
      <c r="B141" s="4">
        <v>41061</v>
      </c>
      <c r="C141" s="7">
        <v>101.27</v>
      </c>
      <c r="D141" s="11">
        <f t="shared" si="22"/>
        <v>145.28526315789475</v>
      </c>
      <c r="E141">
        <v>2</v>
      </c>
      <c r="G141" s="11">
        <f t="shared" si="20"/>
        <v>40.809285714285714</v>
      </c>
      <c r="H141">
        <v>151</v>
      </c>
      <c r="I141" s="7">
        <v>139.4</v>
      </c>
      <c r="J141" s="11">
        <f t="shared" si="23"/>
        <v>158.42111111111114</v>
      </c>
      <c r="K141">
        <v>26</v>
      </c>
      <c r="L141" s="7">
        <v>1426.85</v>
      </c>
      <c r="M141" s="11">
        <f t="shared" si="24"/>
        <v>1490.274210526316</v>
      </c>
      <c r="N141">
        <v>1</v>
      </c>
      <c r="O141" s="7">
        <v>323.86</v>
      </c>
      <c r="P141" s="11">
        <f t="shared" si="25"/>
        <v>340.09052631578948</v>
      </c>
      <c r="Q141">
        <v>1</v>
      </c>
      <c r="R141" s="15">
        <v>70.900000000000006</v>
      </c>
      <c r="S141" s="11">
        <f t="shared" si="26"/>
        <v>102.51894736842105</v>
      </c>
      <c r="T141" s="8">
        <v>1</v>
      </c>
      <c r="U141" s="8">
        <f t="shared" si="21"/>
        <v>184.46</v>
      </c>
      <c r="V141" s="11">
        <f t="shared" si="27"/>
        <v>179.35777777777776</v>
      </c>
      <c r="W141" s="11">
        <f t="shared" si="29"/>
        <v>140.03916666666666</v>
      </c>
    </row>
    <row r="142" spans="1:23" x14ac:dyDescent="0.3">
      <c r="A142" s="8">
        <f t="shared" si="28"/>
        <v>7</v>
      </c>
      <c r="B142" s="4">
        <v>41091</v>
      </c>
      <c r="C142" s="7">
        <v>73.77</v>
      </c>
      <c r="D142" s="11">
        <f t="shared" si="22"/>
        <v>111.3</v>
      </c>
      <c r="E142">
        <v>2</v>
      </c>
      <c r="G142" s="11">
        <f t="shared" si="20"/>
        <v>43.05</v>
      </c>
      <c r="H142">
        <v>151</v>
      </c>
      <c r="I142" s="7">
        <v>116.67</v>
      </c>
      <c r="J142" s="11">
        <f t="shared" si="23"/>
        <v>111.83722222222222</v>
      </c>
      <c r="K142">
        <v>26</v>
      </c>
      <c r="L142" s="7">
        <v>663.35</v>
      </c>
      <c r="M142" s="11">
        <f t="shared" si="24"/>
        <v>693.74263157894745</v>
      </c>
      <c r="N142">
        <v>1</v>
      </c>
      <c r="O142" s="7">
        <v>253.49</v>
      </c>
      <c r="P142" s="11">
        <f t="shared" si="25"/>
        <v>256.32526315789482</v>
      </c>
      <c r="Q142">
        <v>2</v>
      </c>
      <c r="R142" s="15">
        <v>61.88</v>
      </c>
      <c r="S142" s="11">
        <f t="shared" si="26"/>
        <v>63.705789473684213</v>
      </c>
      <c r="T142" s="8">
        <v>1</v>
      </c>
      <c r="U142" s="8">
        <f t="shared" si="21"/>
        <v>136.82</v>
      </c>
      <c r="V142" s="11">
        <f t="shared" si="27"/>
        <v>141.94888888888892</v>
      </c>
      <c r="W142" s="11">
        <f t="shared" si="29"/>
        <v>137.45666666666668</v>
      </c>
    </row>
    <row r="143" spans="1:23" x14ac:dyDescent="0.3">
      <c r="A143" s="8">
        <f t="shared" si="28"/>
        <v>8</v>
      </c>
      <c r="B143" s="4">
        <v>41122</v>
      </c>
      <c r="C143" s="7">
        <v>71.12</v>
      </c>
      <c r="D143" s="11">
        <f t="shared" si="22"/>
        <v>92.337894736842102</v>
      </c>
      <c r="E143">
        <v>2</v>
      </c>
      <c r="G143" s="11">
        <f t="shared" si="20"/>
        <v>45.191428571428567</v>
      </c>
      <c r="H143">
        <v>151</v>
      </c>
      <c r="I143" s="7">
        <v>88.42</v>
      </c>
      <c r="J143" s="11">
        <f t="shared" si="23"/>
        <v>89.390555555555537</v>
      </c>
      <c r="K143">
        <v>26</v>
      </c>
      <c r="L143" s="7">
        <v>451.88</v>
      </c>
      <c r="M143" s="11">
        <f t="shared" si="24"/>
        <v>417.0510526315789</v>
      </c>
      <c r="N143">
        <v>104</v>
      </c>
      <c r="O143" s="7">
        <v>217.31</v>
      </c>
      <c r="P143" s="11">
        <f t="shared" si="25"/>
        <v>208.76473684210529</v>
      </c>
      <c r="Q143">
        <v>2</v>
      </c>
      <c r="R143" s="15">
        <v>55.58</v>
      </c>
      <c r="S143" s="11">
        <f t="shared" si="26"/>
        <v>39.715789473684218</v>
      </c>
      <c r="T143" s="8">
        <v>1</v>
      </c>
      <c r="U143" s="8">
        <f t="shared" si="21"/>
        <v>128.88999999999999</v>
      </c>
      <c r="V143" s="11">
        <f t="shared" si="27"/>
        <v>118.48611111111111</v>
      </c>
      <c r="W143" s="11">
        <f t="shared" si="29"/>
        <v>137.00583333333333</v>
      </c>
    </row>
    <row r="144" spans="1:23" x14ac:dyDescent="0.3">
      <c r="A144" s="8">
        <f t="shared" si="28"/>
        <v>9</v>
      </c>
      <c r="B144" s="4">
        <v>41153</v>
      </c>
      <c r="C144" s="7">
        <v>71.069999999999993</v>
      </c>
      <c r="D144" s="11">
        <f t="shared" si="22"/>
        <v>72.209473684210522</v>
      </c>
      <c r="E144">
        <v>2</v>
      </c>
      <c r="G144" s="11">
        <f t="shared" si="20"/>
        <v>44.037692307692296</v>
      </c>
      <c r="H144">
        <v>151</v>
      </c>
      <c r="I144" s="7">
        <v>66.25</v>
      </c>
      <c r="J144" s="11">
        <f t="shared" si="23"/>
        <v>64.317222222222213</v>
      </c>
      <c r="K144">
        <v>26</v>
      </c>
      <c r="L144" s="7">
        <v>366.56</v>
      </c>
      <c r="M144" s="11">
        <f t="shared" si="24"/>
        <v>300.97526315789474</v>
      </c>
      <c r="N144">
        <v>104</v>
      </c>
      <c r="O144" s="7">
        <v>183.29</v>
      </c>
      <c r="P144" s="11">
        <f t="shared" si="25"/>
        <v>173.37368421052631</v>
      </c>
      <c r="Q144">
        <v>2</v>
      </c>
      <c r="R144" s="15">
        <v>71.77</v>
      </c>
      <c r="S144" s="11">
        <f t="shared" si="26"/>
        <v>68.976315789473688</v>
      </c>
      <c r="T144" s="8">
        <v>1</v>
      </c>
      <c r="U144" s="8">
        <f t="shared" si="21"/>
        <v>117.03999999999999</v>
      </c>
      <c r="V144" s="11">
        <f t="shared" si="27"/>
        <v>108.505</v>
      </c>
      <c r="W144" s="11">
        <f t="shared" si="29"/>
        <v>136.45750000000001</v>
      </c>
    </row>
    <row r="145" spans="1:23" x14ac:dyDescent="0.3">
      <c r="A145" s="8">
        <f t="shared" si="28"/>
        <v>10</v>
      </c>
      <c r="B145" s="4">
        <v>41183</v>
      </c>
      <c r="C145" s="7">
        <v>52.73</v>
      </c>
      <c r="D145" s="11">
        <f t="shared" si="22"/>
        <v>53.688421052631583</v>
      </c>
      <c r="E145">
        <v>2</v>
      </c>
      <c r="G145" s="11">
        <f t="shared" ref="G145:G208" si="30">AVERAGEIF($A$4:$A$236,$A145,F$4:F$236)</f>
        <v>38.246428571428574</v>
      </c>
      <c r="H145">
        <v>151</v>
      </c>
      <c r="I145" s="7">
        <v>47.13</v>
      </c>
      <c r="J145" s="11">
        <f t="shared" si="23"/>
        <v>43.578947368421062</v>
      </c>
      <c r="K145">
        <v>26</v>
      </c>
      <c r="L145" s="7">
        <v>305.5</v>
      </c>
      <c r="M145" s="11">
        <f t="shared" si="24"/>
        <v>237.62421052631578</v>
      </c>
      <c r="N145">
        <v>104</v>
      </c>
      <c r="O145" s="7">
        <v>150.54</v>
      </c>
      <c r="P145" s="11">
        <f t="shared" si="25"/>
        <v>143.08473684210523</v>
      </c>
      <c r="Q145">
        <v>2</v>
      </c>
      <c r="R145" s="15">
        <v>76.510000000000005</v>
      </c>
      <c r="S145" s="11">
        <f t="shared" si="26"/>
        <v>56.208947368421043</v>
      </c>
      <c r="T145" s="8">
        <v>26</v>
      </c>
      <c r="U145" s="8">
        <f t="shared" si="21"/>
        <v>103.41</v>
      </c>
      <c r="V145" s="11">
        <f t="shared" si="27"/>
        <v>99.505789473684189</v>
      </c>
      <c r="W145" s="11">
        <f t="shared" si="29"/>
        <v>136.38916666666668</v>
      </c>
    </row>
    <row r="146" spans="1:23" x14ac:dyDescent="0.3">
      <c r="A146" s="8">
        <f t="shared" si="28"/>
        <v>11</v>
      </c>
      <c r="B146" s="4">
        <v>41214</v>
      </c>
      <c r="C146" s="7">
        <v>60.16</v>
      </c>
      <c r="D146" s="11">
        <f t="shared" si="22"/>
        <v>65.729473684210518</v>
      </c>
      <c r="E146">
        <v>2</v>
      </c>
      <c r="G146" s="11">
        <f t="shared" si="30"/>
        <v>31.170666666666669</v>
      </c>
      <c r="H146">
        <v>151</v>
      </c>
      <c r="I146" s="7">
        <v>57.59</v>
      </c>
      <c r="J146" s="11">
        <f t="shared" si="23"/>
        <v>42.795263157894738</v>
      </c>
      <c r="K146">
        <v>26</v>
      </c>
      <c r="L146" s="7">
        <v>282.70999999999998</v>
      </c>
      <c r="M146" s="11">
        <f t="shared" si="24"/>
        <v>234.77473684210523</v>
      </c>
      <c r="N146">
        <v>104</v>
      </c>
      <c r="O146" s="7">
        <v>160.59</v>
      </c>
      <c r="P146" s="11">
        <f t="shared" si="25"/>
        <v>138.83421052631579</v>
      </c>
      <c r="Q146">
        <v>2</v>
      </c>
      <c r="R146" s="15">
        <v>43.14</v>
      </c>
      <c r="S146" s="11">
        <f t="shared" si="26"/>
        <v>58.608421052631591</v>
      </c>
      <c r="T146" s="8">
        <v>26</v>
      </c>
      <c r="U146" s="8">
        <f t="shared" si="21"/>
        <v>103</v>
      </c>
      <c r="V146" s="11">
        <f t="shared" si="27"/>
        <v>96.038947368421077</v>
      </c>
      <c r="W146" s="11">
        <f t="shared" si="29"/>
        <v>135.95833333333334</v>
      </c>
    </row>
    <row r="147" spans="1:23" x14ac:dyDescent="0.3">
      <c r="A147" s="8">
        <f t="shared" si="28"/>
        <v>12</v>
      </c>
      <c r="B147" s="4">
        <v>41244</v>
      </c>
      <c r="C147" s="7">
        <v>153.04</v>
      </c>
      <c r="D147" s="11">
        <f t="shared" si="22"/>
        <v>164.87789473684211</v>
      </c>
      <c r="E147">
        <v>2</v>
      </c>
      <c r="G147" s="11">
        <f t="shared" si="30"/>
        <v>29.229375000000001</v>
      </c>
      <c r="H147">
        <v>151</v>
      </c>
      <c r="I147" s="7">
        <v>151.52000000000001</v>
      </c>
      <c r="J147" s="11">
        <f t="shared" si="23"/>
        <v>123.60999999999999</v>
      </c>
      <c r="K147">
        <v>26</v>
      </c>
      <c r="L147" s="7">
        <v>424.78</v>
      </c>
      <c r="M147" s="11">
        <f t="shared" si="24"/>
        <v>340.84421052631575</v>
      </c>
      <c r="N147">
        <v>26</v>
      </c>
      <c r="O147" s="7">
        <v>242</v>
      </c>
      <c r="P147" s="11">
        <f t="shared" si="25"/>
        <v>216.46631578947367</v>
      </c>
      <c r="Q147">
        <v>2</v>
      </c>
      <c r="R147" s="15">
        <v>68.209999999999994</v>
      </c>
      <c r="S147" s="11">
        <f t="shared" si="26"/>
        <v>129.68894736842105</v>
      </c>
      <c r="T147" s="8">
        <v>26</v>
      </c>
      <c r="U147" s="8">
        <f t="shared" si="21"/>
        <v>90.47999999999999</v>
      </c>
      <c r="V147" s="11">
        <f t="shared" si="27"/>
        <v>92.856315789473669</v>
      </c>
      <c r="W147" s="11">
        <f t="shared" si="29"/>
        <v>134.72333333333333</v>
      </c>
    </row>
    <row r="148" spans="1:23" x14ac:dyDescent="0.3">
      <c r="A148" s="8">
        <f t="shared" si="28"/>
        <v>1</v>
      </c>
      <c r="B148" s="4">
        <v>41275</v>
      </c>
      <c r="C148" s="7">
        <v>181.38</v>
      </c>
      <c r="D148" s="11">
        <f t="shared" si="22"/>
        <v>262.35600000000005</v>
      </c>
      <c r="E148">
        <v>2</v>
      </c>
      <c r="G148" s="11">
        <f t="shared" si="30"/>
        <v>30.8</v>
      </c>
      <c r="H148">
        <v>151</v>
      </c>
      <c r="I148" s="7">
        <v>287.26</v>
      </c>
      <c r="J148" s="11">
        <f t="shared" si="23"/>
        <v>241.63399999999996</v>
      </c>
      <c r="K148">
        <v>26</v>
      </c>
      <c r="L148" s="7">
        <v>1216.26</v>
      </c>
      <c r="M148" s="11">
        <f t="shared" si="24"/>
        <v>671.20894736842092</v>
      </c>
      <c r="N148">
        <v>26</v>
      </c>
      <c r="O148" s="7">
        <v>406.09</v>
      </c>
      <c r="P148" s="11">
        <f t="shared" si="25"/>
        <v>362.94894736842105</v>
      </c>
      <c r="Q148">
        <v>2</v>
      </c>
      <c r="R148" s="15">
        <v>117.56</v>
      </c>
      <c r="S148" s="11">
        <f t="shared" si="26"/>
        <v>90.957368421052621</v>
      </c>
      <c r="T148" s="8">
        <v>26</v>
      </c>
      <c r="U148" s="8">
        <f t="shared" si="21"/>
        <v>118.82999999999998</v>
      </c>
      <c r="V148" s="11">
        <f t="shared" si="27"/>
        <v>126.33499999999998</v>
      </c>
      <c r="W148" s="11">
        <f t="shared" si="29"/>
        <v>134.34583333333333</v>
      </c>
    </row>
    <row r="149" spans="1:23" x14ac:dyDescent="0.3">
      <c r="A149" s="8">
        <f t="shared" si="28"/>
        <v>2</v>
      </c>
      <c r="B149" s="4">
        <v>41306</v>
      </c>
      <c r="C149" s="7">
        <v>152.11000000000001</v>
      </c>
      <c r="D149" s="11">
        <f t="shared" si="22"/>
        <v>328.9663157894737</v>
      </c>
      <c r="E149">
        <v>2</v>
      </c>
      <c r="F149" s="7">
        <v>37.78</v>
      </c>
      <c r="G149" s="11">
        <f t="shared" si="30"/>
        <v>33.1875</v>
      </c>
      <c r="H149">
        <v>2</v>
      </c>
      <c r="I149" s="7">
        <v>286.23</v>
      </c>
      <c r="J149" s="11">
        <f t="shared" si="23"/>
        <v>334.30099999999993</v>
      </c>
      <c r="K149">
        <v>26</v>
      </c>
      <c r="L149" s="7">
        <v>3776.46</v>
      </c>
      <c r="M149" s="11">
        <f t="shared" si="24"/>
        <v>1650.3500000000001</v>
      </c>
      <c r="N149">
        <v>26</v>
      </c>
      <c r="O149" s="7">
        <v>426.18</v>
      </c>
      <c r="P149" s="11">
        <f t="shared" si="25"/>
        <v>463.72789473684207</v>
      </c>
      <c r="Q149">
        <v>2</v>
      </c>
      <c r="R149" s="15">
        <v>113.14</v>
      </c>
      <c r="S149" s="11">
        <f t="shared" si="26"/>
        <v>109.05882352941175</v>
      </c>
      <c r="T149" s="8">
        <v>26</v>
      </c>
      <c r="U149" s="8">
        <f t="shared" si="21"/>
        <v>139.94999999999999</v>
      </c>
      <c r="V149" s="11">
        <f t="shared" si="27"/>
        <v>134.9257894736842</v>
      </c>
      <c r="W149" s="11">
        <f t="shared" si="29"/>
        <v>134.46</v>
      </c>
    </row>
    <row r="150" spans="1:23" x14ac:dyDescent="0.3">
      <c r="A150" s="8">
        <f t="shared" si="28"/>
        <v>3</v>
      </c>
      <c r="B150" s="4">
        <v>41334</v>
      </c>
      <c r="C150" s="7">
        <v>185.27</v>
      </c>
      <c r="D150" s="11">
        <f t="shared" si="22"/>
        <v>469.14</v>
      </c>
      <c r="E150">
        <v>2</v>
      </c>
      <c r="F150" s="7">
        <v>37.22</v>
      </c>
      <c r="G150" s="11">
        <f t="shared" si="30"/>
        <v>37.004666666666672</v>
      </c>
      <c r="H150">
        <v>1</v>
      </c>
      <c r="I150" s="7">
        <v>420.05</v>
      </c>
      <c r="J150" s="11">
        <f t="shared" si="23"/>
        <v>431.04200000000003</v>
      </c>
      <c r="K150">
        <v>26</v>
      </c>
      <c r="L150" s="7">
        <v>4190.91</v>
      </c>
      <c r="M150" s="11">
        <f t="shared" si="24"/>
        <v>3124.677368421053</v>
      </c>
      <c r="N150">
        <v>26</v>
      </c>
      <c r="O150" s="7">
        <v>581.57000000000005</v>
      </c>
      <c r="P150" s="11">
        <f t="shared" si="25"/>
        <v>565.95157894736838</v>
      </c>
      <c r="Q150">
        <v>1</v>
      </c>
      <c r="R150" s="15">
        <v>65.02</v>
      </c>
      <c r="S150" s="11">
        <f t="shared" si="26"/>
        <v>223.16157894736844</v>
      </c>
      <c r="T150" s="8">
        <v>26</v>
      </c>
      <c r="U150" s="8">
        <f t="shared" si="21"/>
        <v>161.52000000000004</v>
      </c>
      <c r="V150" s="11">
        <f t="shared" si="27"/>
        <v>138.05736842105264</v>
      </c>
      <c r="W150" s="11">
        <f t="shared" si="29"/>
        <v>133.26166666666668</v>
      </c>
    </row>
    <row r="151" spans="1:23" x14ac:dyDescent="0.3">
      <c r="A151" s="8">
        <f t="shared" si="28"/>
        <v>4</v>
      </c>
      <c r="B151" s="4">
        <v>41365</v>
      </c>
      <c r="C151" s="7">
        <v>258.85000000000002</v>
      </c>
      <c r="D151" s="11">
        <f t="shared" si="22"/>
        <v>589.29650000000015</v>
      </c>
      <c r="E151">
        <v>2</v>
      </c>
      <c r="F151" s="7">
        <v>37.99</v>
      </c>
      <c r="G151" s="11">
        <f t="shared" si="30"/>
        <v>37.96</v>
      </c>
      <c r="H151">
        <v>2</v>
      </c>
      <c r="I151" s="7">
        <v>366.05</v>
      </c>
      <c r="J151" s="11">
        <f t="shared" si="23"/>
        <v>483.73894736842101</v>
      </c>
      <c r="K151">
        <v>26</v>
      </c>
      <c r="L151" s="7">
        <v>3636.4</v>
      </c>
      <c r="M151" s="11">
        <f t="shared" si="24"/>
        <v>3744.6268421052641</v>
      </c>
      <c r="N151">
        <v>26</v>
      </c>
      <c r="O151" s="7">
        <v>557.01</v>
      </c>
      <c r="P151" s="11">
        <f t="shared" si="25"/>
        <v>682.00947368421055</v>
      </c>
      <c r="Q151">
        <v>1</v>
      </c>
      <c r="R151" s="15">
        <v>58.61</v>
      </c>
      <c r="S151" s="11">
        <f t="shared" si="26"/>
        <v>222.48684210526312</v>
      </c>
      <c r="T151" s="8">
        <v>26</v>
      </c>
      <c r="U151" s="8">
        <f t="shared" si="21"/>
        <v>190.95999999999998</v>
      </c>
      <c r="V151" s="11">
        <f t="shared" si="27"/>
        <v>198.27052631578945</v>
      </c>
      <c r="W151" s="11">
        <f t="shared" si="29"/>
        <v>129.34916666666666</v>
      </c>
    </row>
    <row r="152" spans="1:23" x14ac:dyDescent="0.3">
      <c r="A152" s="8">
        <f t="shared" si="28"/>
        <v>5</v>
      </c>
      <c r="B152" s="4">
        <v>41395</v>
      </c>
      <c r="C152" s="7">
        <v>113.56</v>
      </c>
      <c r="D152" s="11">
        <f t="shared" si="22"/>
        <v>310.70526315789482</v>
      </c>
      <c r="E152">
        <v>2</v>
      </c>
      <c r="F152" s="7">
        <v>61.18</v>
      </c>
      <c r="G152" s="11">
        <f t="shared" si="30"/>
        <v>38.770000000000003</v>
      </c>
      <c r="H152">
        <v>2</v>
      </c>
      <c r="I152" s="7">
        <v>208.29</v>
      </c>
      <c r="J152" s="11">
        <f t="shared" si="23"/>
        <v>306.97578947368419</v>
      </c>
      <c r="K152">
        <v>26</v>
      </c>
      <c r="L152" s="7">
        <v>2414.7199999999998</v>
      </c>
      <c r="M152" s="11">
        <f t="shared" si="24"/>
        <v>2961.8094736842104</v>
      </c>
      <c r="N152">
        <v>26</v>
      </c>
      <c r="O152" s="7">
        <v>413.4</v>
      </c>
      <c r="P152" s="11">
        <f t="shared" si="25"/>
        <v>530.60473684210535</v>
      </c>
      <c r="Q152">
        <v>1</v>
      </c>
      <c r="R152" s="15">
        <v>18.100000000000001</v>
      </c>
      <c r="S152" s="11">
        <f t="shared" si="26"/>
        <v>164.41473684210524</v>
      </c>
      <c r="T152" s="8">
        <v>26</v>
      </c>
      <c r="U152" s="8">
        <f t="shared" si="21"/>
        <v>205.10999999999999</v>
      </c>
      <c r="V152" s="11">
        <f t="shared" si="27"/>
        <v>223.628947368421</v>
      </c>
      <c r="W152" s="11">
        <f t="shared" si="29"/>
        <v>127.40083333333332</v>
      </c>
    </row>
    <row r="153" spans="1:23" x14ac:dyDescent="0.3">
      <c r="A153" s="8">
        <f t="shared" si="28"/>
        <v>6</v>
      </c>
      <c r="B153" s="4">
        <v>41426</v>
      </c>
      <c r="C153" s="7">
        <v>88.9</v>
      </c>
      <c r="D153" s="11">
        <f t="shared" si="22"/>
        <v>145.28526315789475</v>
      </c>
      <c r="E153">
        <v>2</v>
      </c>
      <c r="F153" s="7">
        <v>67.489999999999995</v>
      </c>
      <c r="G153" s="11">
        <f t="shared" si="30"/>
        <v>40.809285714285714</v>
      </c>
      <c r="H153">
        <v>2</v>
      </c>
      <c r="I153" s="7">
        <v>115.03</v>
      </c>
      <c r="J153" s="11">
        <f t="shared" si="23"/>
        <v>158.42111111111114</v>
      </c>
      <c r="K153">
        <v>26</v>
      </c>
      <c r="L153" s="7">
        <v>1074.75</v>
      </c>
      <c r="M153" s="11">
        <f t="shared" si="24"/>
        <v>1490.274210526316</v>
      </c>
      <c r="N153">
        <v>26</v>
      </c>
      <c r="O153" s="7">
        <v>268.5</v>
      </c>
      <c r="P153" s="11">
        <f t="shared" si="25"/>
        <v>340.09052631578948</v>
      </c>
      <c r="Q153">
        <v>2</v>
      </c>
      <c r="R153" s="15">
        <v>44.12</v>
      </c>
      <c r="S153" s="11">
        <f t="shared" si="26"/>
        <v>102.51894736842105</v>
      </c>
      <c r="T153" s="8">
        <v>26</v>
      </c>
      <c r="U153" s="8">
        <f t="shared" si="21"/>
        <v>153.47</v>
      </c>
      <c r="V153" s="11">
        <f t="shared" si="27"/>
        <v>179.35777777777776</v>
      </c>
      <c r="W153" s="11">
        <f t="shared" si="29"/>
        <v>132.32833333333332</v>
      </c>
    </row>
    <row r="154" spans="1:23" x14ac:dyDescent="0.3">
      <c r="A154" s="8">
        <f t="shared" si="28"/>
        <v>7</v>
      </c>
      <c r="B154" s="4">
        <v>41456</v>
      </c>
      <c r="C154" s="7">
        <v>78.75</v>
      </c>
      <c r="D154" s="11">
        <f t="shared" si="22"/>
        <v>111.3</v>
      </c>
      <c r="E154">
        <v>2</v>
      </c>
      <c r="F154" s="7">
        <v>61.89</v>
      </c>
      <c r="G154" s="11">
        <f t="shared" si="30"/>
        <v>43.05</v>
      </c>
      <c r="H154">
        <v>2</v>
      </c>
      <c r="I154" s="7">
        <v>92.14</v>
      </c>
      <c r="J154" s="11">
        <f t="shared" si="23"/>
        <v>111.83722222222222</v>
      </c>
      <c r="K154">
        <v>26</v>
      </c>
      <c r="L154" s="7">
        <v>545.74</v>
      </c>
      <c r="M154" s="11">
        <f t="shared" si="24"/>
        <v>693.74263157894745</v>
      </c>
      <c r="N154">
        <v>26</v>
      </c>
      <c r="O154" s="7">
        <v>223.55</v>
      </c>
      <c r="P154" s="11">
        <f t="shared" si="25"/>
        <v>256.32526315789482</v>
      </c>
      <c r="Q154">
        <v>2</v>
      </c>
      <c r="R154" s="15">
        <v>35.71</v>
      </c>
      <c r="S154" s="11">
        <f t="shared" si="26"/>
        <v>63.705789473684213</v>
      </c>
      <c r="T154" s="8">
        <v>26</v>
      </c>
      <c r="U154" s="8">
        <f t="shared" si="21"/>
        <v>131.41000000000003</v>
      </c>
      <c r="V154" s="11">
        <f t="shared" si="27"/>
        <v>141.94888888888892</v>
      </c>
      <c r="W154" s="11">
        <f t="shared" si="29"/>
        <v>136.03416666666666</v>
      </c>
    </row>
    <row r="155" spans="1:23" x14ac:dyDescent="0.3">
      <c r="A155" s="8">
        <f t="shared" si="28"/>
        <v>8</v>
      </c>
      <c r="B155" s="4">
        <v>41487</v>
      </c>
      <c r="C155" s="7">
        <v>73.31</v>
      </c>
      <c r="D155" s="11">
        <f t="shared" si="22"/>
        <v>92.337894736842102</v>
      </c>
      <c r="E155">
        <v>2</v>
      </c>
      <c r="F155" s="7">
        <v>52.47</v>
      </c>
      <c r="G155" s="11">
        <f t="shared" si="30"/>
        <v>45.191428571428567</v>
      </c>
      <c r="H155">
        <v>2</v>
      </c>
      <c r="I155" s="7">
        <v>74.09</v>
      </c>
      <c r="J155" s="11">
        <f t="shared" si="23"/>
        <v>89.390555555555537</v>
      </c>
      <c r="K155">
        <v>26</v>
      </c>
      <c r="L155" s="7">
        <v>393.8</v>
      </c>
      <c r="M155" s="11">
        <f t="shared" si="24"/>
        <v>417.0510526315789</v>
      </c>
      <c r="N155">
        <v>26</v>
      </c>
      <c r="O155" s="7">
        <v>196.4</v>
      </c>
      <c r="P155" s="11">
        <f t="shared" si="25"/>
        <v>208.76473684210529</v>
      </c>
      <c r="Q155">
        <v>2</v>
      </c>
      <c r="R155" s="15">
        <v>11.46</v>
      </c>
      <c r="S155" s="11">
        <f t="shared" si="26"/>
        <v>39.715789473684218</v>
      </c>
      <c r="T155" s="8">
        <v>26</v>
      </c>
      <c r="U155" s="8">
        <f t="shared" si="21"/>
        <v>122.31</v>
      </c>
      <c r="V155" s="11">
        <f t="shared" si="27"/>
        <v>118.48611111111111</v>
      </c>
      <c r="W155" s="11">
        <f t="shared" si="29"/>
        <v>138.1575</v>
      </c>
    </row>
    <row r="156" spans="1:23" x14ac:dyDescent="0.3">
      <c r="A156" s="8">
        <f t="shared" si="28"/>
        <v>9</v>
      </c>
      <c r="B156" s="4">
        <v>41518</v>
      </c>
      <c r="C156" s="7">
        <v>72.180000000000007</v>
      </c>
      <c r="D156" s="11">
        <f t="shared" si="22"/>
        <v>72.209473684210522</v>
      </c>
      <c r="E156">
        <v>2</v>
      </c>
      <c r="F156" s="7">
        <v>42.91</v>
      </c>
      <c r="G156" s="11">
        <f t="shared" si="30"/>
        <v>44.037692307692296</v>
      </c>
      <c r="H156">
        <v>2</v>
      </c>
      <c r="I156" s="7">
        <v>52.85</v>
      </c>
      <c r="J156" s="11">
        <f t="shared" si="23"/>
        <v>64.317222222222213</v>
      </c>
      <c r="K156">
        <v>26</v>
      </c>
      <c r="L156" s="7">
        <v>302.95999999999998</v>
      </c>
      <c r="M156" s="11">
        <f t="shared" si="24"/>
        <v>300.97526315789474</v>
      </c>
      <c r="N156">
        <v>26</v>
      </c>
      <c r="O156" s="7">
        <v>169.07</v>
      </c>
      <c r="P156" s="11">
        <f t="shared" si="25"/>
        <v>173.37368421052631</v>
      </c>
      <c r="Q156">
        <v>2</v>
      </c>
      <c r="R156" s="15">
        <v>7.95</v>
      </c>
      <c r="S156" s="11">
        <f t="shared" si="26"/>
        <v>68.976315789473688</v>
      </c>
      <c r="T156" s="8">
        <v>26</v>
      </c>
      <c r="U156" s="8">
        <f t="shared" si="21"/>
        <v>116.22</v>
      </c>
      <c r="V156" s="11">
        <f t="shared" si="27"/>
        <v>108.505</v>
      </c>
      <c r="W156" s="11">
        <f t="shared" si="29"/>
        <v>138.60499999999999</v>
      </c>
    </row>
    <row r="157" spans="1:23" x14ac:dyDescent="0.3">
      <c r="A157" s="8">
        <f t="shared" si="28"/>
        <v>10</v>
      </c>
      <c r="B157" s="4">
        <v>41548</v>
      </c>
      <c r="C157" s="7">
        <v>56.55</v>
      </c>
      <c r="D157" s="11">
        <f t="shared" si="22"/>
        <v>53.688421052631583</v>
      </c>
      <c r="E157">
        <v>2</v>
      </c>
      <c r="F157" s="7">
        <v>34.979999999999997</v>
      </c>
      <c r="G157" s="11">
        <f t="shared" si="30"/>
        <v>38.246428571428574</v>
      </c>
      <c r="H157">
        <v>2</v>
      </c>
      <c r="I157" s="7">
        <v>33.36</v>
      </c>
      <c r="J157" s="11">
        <f t="shared" si="23"/>
        <v>43.578947368421062</v>
      </c>
      <c r="K157">
        <v>26</v>
      </c>
      <c r="L157" s="7">
        <v>244.31</v>
      </c>
      <c r="M157" s="11">
        <f t="shared" si="24"/>
        <v>237.62421052631578</v>
      </c>
      <c r="N157">
        <v>26</v>
      </c>
      <c r="O157" s="7">
        <v>131.6</v>
      </c>
      <c r="P157" s="11">
        <f t="shared" si="25"/>
        <v>143.08473684210523</v>
      </c>
      <c r="Q157">
        <v>2</v>
      </c>
      <c r="R157" s="15">
        <v>10.31</v>
      </c>
      <c r="S157" s="11">
        <f t="shared" si="26"/>
        <v>56.208947368421043</v>
      </c>
      <c r="T157" s="8">
        <v>26</v>
      </c>
      <c r="U157" s="8">
        <f t="shared" si="21"/>
        <v>98.24</v>
      </c>
      <c r="V157" s="11">
        <f t="shared" si="27"/>
        <v>99.505789473684189</v>
      </c>
      <c r="W157" s="11">
        <f t="shared" si="29"/>
        <v>138.17000000000002</v>
      </c>
    </row>
    <row r="158" spans="1:23" x14ac:dyDescent="0.3">
      <c r="A158" s="8">
        <f t="shared" si="28"/>
        <v>11</v>
      </c>
      <c r="B158" s="4">
        <v>41579</v>
      </c>
      <c r="C158" s="7">
        <v>64.150000000000006</v>
      </c>
      <c r="D158" s="11">
        <f t="shared" si="22"/>
        <v>65.729473684210518</v>
      </c>
      <c r="E158">
        <v>2</v>
      </c>
      <c r="F158" s="7">
        <v>28.89</v>
      </c>
      <c r="G158" s="11">
        <f t="shared" si="30"/>
        <v>31.170666666666669</v>
      </c>
      <c r="H158">
        <v>1</v>
      </c>
      <c r="I158" s="7">
        <v>34.090000000000003</v>
      </c>
      <c r="J158" s="11">
        <f t="shared" si="23"/>
        <v>42.795263157894738</v>
      </c>
      <c r="K158">
        <v>26</v>
      </c>
      <c r="L158" s="7">
        <v>242.92</v>
      </c>
      <c r="M158" s="11">
        <f t="shared" si="24"/>
        <v>234.77473684210523</v>
      </c>
      <c r="N158">
        <v>26</v>
      </c>
      <c r="O158" s="7">
        <v>122.27</v>
      </c>
      <c r="P158" s="11">
        <f t="shared" si="25"/>
        <v>138.83421052631579</v>
      </c>
      <c r="Q158">
        <v>1</v>
      </c>
      <c r="R158" s="15">
        <v>11</v>
      </c>
      <c r="S158" s="11">
        <f t="shared" si="26"/>
        <v>58.608421052631591</v>
      </c>
      <c r="T158" s="8">
        <v>26</v>
      </c>
      <c r="U158" s="8">
        <f t="shared" si="21"/>
        <v>88.179999999999993</v>
      </c>
      <c r="V158" s="11">
        <f t="shared" si="27"/>
        <v>96.038947368421077</v>
      </c>
      <c r="W158" s="11">
        <f t="shared" si="29"/>
        <v>138.19499999999999</v>
      </c>
    </row>
    <row r="159" spans="1:23" x14ac:dyDescent="0.3">
      <c r="A159" s="8">
        <f t="shared" si="28"/>
        <v>12</v>
      </c>
      <c r="B159" s="4">
        <v>41609</v>
      </c>
      <c r="C159" s="7">
        <v>232.33</v>
      </c>
      <c r="D159" s="11">
        <f t="shared" si="22"/>
        <v>164.87789473684211</v>
      </c>
      <c r="E159">
        <v>2</v>
      </c>
      <c r="F159" s="7">
        <v>32.340000000000003</v>
      </c>
      <c r="G159" s="11">
        <f t="shared" si="30"/>
        <v>29.229375000000001</v>
      </c>
      <c r="H159">
        <v>1</v>
      </c>
      <c r="I159" s="7">
        <v>132.59</v>
      </c>
      <c r="J159" s="11">
        <f t="shared" si="23"/>
        <v>123.60999999999999</v>
      </c>
      <c r="K159">
        <v>26</v>
      </c>
      <c r="L159" s="7">
        <v>408.51</v>
      </c>
      <c r="M159" s="11">
        <f t="shared" si="24"/>
        <v>340.84421052631575</v>
      </c>
      <c r="N159">
        <v>26</v>
      </c>
      <c r="O159" s="7">
        <v>218.54</v>
      </c>
      <c r="P159" s="11">
        <f t="shared" si="25"/>
        <v>216.46631578947367</v>
      </c>
      <c r="Q159">
        <v>1</v>
      </c>
      <c r="R159" s="15">
        <v>44.15</v>
      </c>
      <c r="S159" s="11">
        <f t="shared" si="26"/>
        <v>129.68894736842105</v>
      </c>
      <c r="T159" s="8">
        <v>26</v>
      </c>
      <c r="U159" s="8">
        <f t="shared" si="21"/>
        <v>85.949999999999989</v>
      </c>
      <c r="V159" s="11">
        <f t="shared" si="27"/>
        <v>92.856315789473669</v>
      </c>
      <c r="W159" s="11">
        <f t="shared" si="29"/>
        <v>139.40416666666667</v>
      </c>
    </row>
    <row r="160" spans="1:23" x14ac:dyDescent="0.3">
      <c r="A160" s="8">
        <f t="shared" si="28"/>
        <v>1</v>
      </c>
      <c r="B160" s="4">
        <v>41640</v>
      </c>
      <c r="C160" s="7">
        <v>167.04</v>
      </c>
      <c r="D160" s="11">
        <f t="shared" si="22"/>
        <v>262.35600000000005</v>
      </c>
      <c r="E160">
        <v>2</v>
      </c>
      <c r="F160" s="7">
        <v>40.07</v>
      </c>
      <c r="G160" s="11">
        <f t="shared" si="30"/>
        <v>30.8</v>
      </c>
      <c r="H160">
        <v>1</v>
      </c>
      <c r="I160" s="7">
        <v>167.13</v>
      </c>
      <c r="J160" s="11">
        <f t="shared" si="23"/>
        <v>241.63399999999996</v>
      </c>
      <c r="K160">
        <v>26</v>
      </c>
      <c r="L160" s="7">
        <v>724.85</v>
      </c>
      <c r="M160" s="11">
        <f t="shared" si="24"/>
        <v>671.20894736842092</v>
      </c>
      <c r="N160">
        <v>26</v>
      </c>
      <c r="O160" s="7">
        <v>287.33</v>
      </c>
      <c r="P160" s="11">
        <f t="shared" si="25"/>
        <v>362.94894736842105</v>
      </c>
      <c r="Q160">
        <v>1</v>
      </c>
      <c r="R160" s="15">
        <v>17.22</v>
      </c>
      <c r="S160" s="11">
        <f t="shared" si="26"/>
        <v>90.957368421052621</v>
      </c>
      <c r="T160" s="8">
        <v>26</v>
      </c>
      <c r="U160" s="8">
        <f t="shared" si="21"/>
        <v>120.19999999999999</v>
      </c>
      <c r="V160" s="11">
        <f t="shared" si="27"/>
        <v>126.33499999999998</v>
      </c>
      <c r="W160" s="11">
        <f t="shared" si="29"/>
        <v>136.84416666666669</v>
      </c>
    </row>
    <row r="161" spans="1:23" x14ac:dyDescent="0.3">
      <c r="A161" s="8">
        <f t="shared" si="28"/>
        <v>2</v>
      </c>
      <c r="B161" s="4">
        <v>41671</v>
      </c>
      <c r="C161" s="7">
        <v>142.57</v>
      </c>
      <c r="D161" s="11">
        <f t="shared" si="22"/>
        <v>328.9663157894737</v>
      </c>
      <c r="E161">
        <v>2</v>
      </c>
      <c r="F161" s="7">
        <v>38.479999999999997</v>
      </c>
      <c r="G161" s="11">
        <f t="shared" si="30"/>
        <v>33.1875</v>
      </c>
      <c r="H161">
        <v>2</v>
      </c>
      <c r="I161" s="7">
        <v>202.89</v>
      </c>
      <c r="J161" s="11">
        <f t="shared" si="23"/>
        <v>334.30099999999993</v>
      </c>
      <c r="K161">
        <v>26</v>
      </c>
      <c r="L161" s="7">
        <v>1436.11</v>
      </c>
      <c r="M161" s="11">
        <f t="shared" si="24"/>
        <v>1650.3500000000001</v>
      </c>
      <c r="N161">
        <v>26</v>
      </c>
      <c r="O161" s="7">
        <v>328.46</v>
      </c>
      <c r="P161" s="11">
        <f t="shared" si="25"/>
        <v>463.72789473684207</v>
      </c>
      <c r="Q161">
        <v>1</v>
      </c>
      <c r="R161" s="15">
        <v>30.69</v>
      </c>
      <c r="S161" s="11">
        <f t="shared" si="26"/>
        <v>109.05882352941175</v>
      </c>
      <c r="T161" s="8">
        <v>26</v>
      </c>
      <c r="U161" s="8">
        <f t="shared" si="21"/>
        <v>125.57</v>
      </c>
      <c r="V161" s="11">
        <f t="shared" si="27"/>
        <v>134.9257894736842</v>
      </c>
      <c r="W161" s="11">
        <f t="shared" si="29"/>
        <v>136.17583333333334</v>
      </c>
    </row>
    <row r="162" spans="1:23" x14ac:dyDescent="0.3">
      <c r="A162" s="8">
        <f t="shared" si="28"/>
        <v>3</v>
      </c>
      <c r="B162" s="4">
        <v>41699</v>
      </c>
      <c r="C162" s="7">
        <v>201.9</v>
      </c>
      <c r="D162" s="11">
        <f t="shared" si="22"/>
        <v>469.14</v>
      </c>
      <c r="E162">
        <v>2</v>
      </c>
      <c r="F162" s="7">
        <v>42.56</v>
      </c>
      <c r="G162" s="11">
        <f t="shared" si="30"/>
        <v>37.004666666666672</v>
      </c>
      <c r="H162">
        <v>2</v>
      </c>
      <c r="I162" s="7">
        <v>344.72</v>
      </c>
      <c r="J162" s="11">
        <f t="shared" si="23"/>
        <v>431.04200000000003</v>
      </c>
      <c r="K162">
        <v>26</v>
      </c>
      <c r="L162" s="7">
        <v>2669.98</v>
      </c>
      <c r="M162" s="11">
        <f t="shared" si="24"/>
        <v>3124.677368421053</v>
      </c>
      <c r="N162">
        <v>26</v>
      </c>
      <c r="O162" s="7">
        <v>459.29</v>
      </c>
      <c r="P162" s="11">
        <f t="shared" si="25"/>
        <v>565.95157894736838</v>
      </c>
      <c r="Q162">
        <v>1</v>
      </c>
      <c r="R162" s="15">
        <v>355.71</v>
      </c>
      <c r="S162" s="11">
        <f t="shared" si="26"/>
        <v>223.16157894736844</v>
      </c>
      <c r="T162" s="8">
        <v>26</v>
      </c>
      <c r="U162" s="8">
        <f t="shared" si="21"/>
        <v>114.57</v>
      </c>
      <c r="V162" s="11">
        <f t="shared" si="27"/>
        <v>138.05736842105264</v>
      </c>
      <c r="W162" s="11">
        <f t="shared" si="29"/>
        <v>129.01333333333335</v>
      </c>
    </row>
    <row r="163" spans="1:23" x14ac:dyDescent="0.3">
      <c r="A163" s="8">
        <f t="shared" si="28"/>
        <v>4</v>
      </c>
      <c r="B163" s="4">
        <v>41730</v>
      </c>
      <c r="C163" s="7">
        <v>543.94000000000005</v>
      </c>
      <c r="D163" s="11">
        <f t="shared" si="22"/>
        <v>589.29650000000015</v>
      </c>
      <c r="E163">
        <v>2</v>
      </c>
      <c r="F163" s="7">
        <v>39.520000000000003</v>
      </c>
      <c r="G163" s="11">
        <f t="shared" si="30"/>
        <v>37.96</v>
      </c>
      <c r="H163">
        <v>2</v>
      </c>
      <c r="I163" s="7">
        <v>596.89</v>
      </c>
      <c r="J163" s="11">
        <f t="shared" si="23"/>
        <v>483.73894736842101</v>
      </c>
      <c r="K163">
        <v>26</v>
      </c>
      <c r="L163" s="7">
        <v>4195.72</v>
      </c>
      <c r="M163" s="11">
        <f t="shared" si="24"/>
        <v>3744.6268421052641</v>
      </c>
      <c r="N163">
        <v>26</v>
      </c>
      <c r="O163" s="7">
        <v>764.47</v>
      </c>
      <c r="P163" s="11">
        <f t="shared" si="25"/>
        <v>682.00947368421055</v>
      </c>
      <c r="Q163">
        <v>1</v>
      </c>
      <c r="R163" s="15">
        <v>814.11</v>
      </c>
      <c r="S163" s="11">
        <f t="shared" si="26"/>
        <v>222.48684210526312</v>
      </c>
      <c r="T163" s="8">
        <v>26</v>
      </c>
      <c r="U163" s="8">
        <f t="shared" si="21"/>
        <v>167.58000000000004</v>
      </c>
      <c r="V163" s="11">
        <f t="shared" si="27"/>
        <v>198.27052631578945</v>
      </c>
      <c r="W163" s="11">
        <f t="shared" si="29"/>
        <v>130.70500000000001</v>
      </c>
    </row>
    <row r="164" spans="1:23" x14ac:dyDescent="0.3">
      <c r="A164" s="8">
        <f t="shared" si="28"/>
        <v>5</v>
      </c>
      <c r="B164" s="4">
        <v>41760</v>
      </c>
      <c r="C164" s="7">
        <v>291.98</v>
      </c>
      <c r="D164" s="11">
        <f t="shared" si="22"/>
        <v>310.70526315789482</v>
      </c>
      <c r="E164">
        <v>2</v>
      </c>
      <c r="F164" s="7">
        <v>37.06</v>
      </c>
      <c r="G164" s="11">
        <f t="shared" si="30"/>
        <v>38.770000000000003</v>
      </c>
      <c r="H164">
        <v>2</v>
      </c>
      <c r="I164" s="7">
        <v>400.07</v>
      </c>
      <c r="J164" s="11">
        <f t="shared" si="23"/>
        <v>306.97578947368419</v>
      </c>
      <c r="K164">
        <v>26</v>
      </c>
      <c r="L164" s="7">
        <v>3773.12</v>
      </c>
      <c r="M164" s="11">
        <f t="shared" si="24"/>
        <v>2961.8094736842104</v>
      </c>
      <c r="N164">
        <v>26</v>
      </c>
      <c r="O164" s="7">
        <v>664.31</v>
      </c>
      <c r="P164" s="11">
        <f t="shared" si="25"/>
        <v>530.60473684210535</v>
      </c>
      <c r="Q164">
        <v>1</v>
      </c>
      <c r="R164" s="15">
        <v>44.39</v>
      </c>
      <c r="S164" s="11">
        <f t="shared" si="26"/>
        <v>164.41473684210524</v>
      </c>
      <c r="T164" s="8">
        <v>26</v>
      </c>
      <c r="U164" s="8">
        <f t="shared" si="21"/>
        <v>264.23999999999995</v>
      </c>
      <c r="V164" s="11">
        <f t="shared" si="27"/>
        <v>223.628947368421</v>
      </c>
      <c r="W164" s="11">
        <f t="shared" si="29"/>
        <v>131.56833333333336</v>
      </c>
    </row>
    <row r="165" spans="1:23" x14ac:dyDescent="0.3">
      <c r="A165" s="8">
        <f t="shared" si="28"/>
        <v>6</v>
      </c>
      <c r="B165" s="4">
        <v>41791</v>
      </c>
      <c r="C165" s="7">
        <v>138.65</v>
      </c>
      <c r="D165" s="11">
        <f t="shared" si="22"/>
        <v>145.28526315789475</v>
      </c>
      <c r="E165">
        <v>2</v>
      </c>
      <c r="F165" s="7">
        <v>35.130000000000003</v>
      </c>
      <c r="G165" s="11">
        <f t="shared" si="30"/>
        <v>40.809285714285714</v>
      </c>
      <c r="H165">
        <v>2</v>
      </c>
      <c r="I165" s="7">
        <v>185.32</v>
      </c>
      <c r="J165" s="11">
        <f t="shared" si="23"/>
        <v>158.42111111111114</v>
      </c>
      <c r="K165">
        <v>26</v>
      </c>
      <c r="L165" s="7">
        <v>2127.89</v>
      </c>
      <c r="M165" s="11">
        <f t="shared" si="24"/>
        <v>1490.274210526316</v>
      </c>
      <c r="N165">
        <v>26</v>
      </c>
      <c r="O165" s="7">
        <v>383.26</v>
      </c>
      <c r="P165" s="11">
        <f t="shared" si="25"/>
        <v>340.09052631578948</v>
      </c>
      <c r="Q165">
        <v>2</v>
      </c>
      <c r="R165" s="15">
        <v>32.36</v>
      </c>
      <c r="S165" s="11">
        <f t="shared" si="26"/>
        <v>102.51894736842105</v>
      </c>
      <c r="T165" s="8">
        <v>26</v>
      </c>
      <c r="U165" s="8">
        <f t="shared" si="21"/>
        <v>197.94</v>
      </c>
      <c r="V165" s="11">
        <f t="shared" si="27"/>
        <v>179.35777777777776</v>
      </c>
      <c r="W165" s="11">
        <f t="shared" si="29"/>
        <v>123.04916666666668</v>
      </c>
    </row>
    <row r="166" spans="1:23" x14ac:dyDescent="0.3">
      <c r="A166" s="8">
        <f t="shared" si="28"/>
        <v>7</v>
      </c>
      <c r="B166" s="4">
        <v>41821</v>
      </c>
      <c r="C166" s="7">
        <v>112.02</v>
      </c>
      <c r="D166" s="11">
        <f t="shared" si="22"/>
        <v>111.3</v>
      </c>
      <c r="E166">
        <v>2</v>
      </c>
      <c r="F166" s="7">
        <v>35.619999999999997</v>
      </c>
      <c r="G166" s="11">
        <f t="shared" si="30"/>
        <v>43.05</v>
      </c>
      <c r="H166">
        <v>2</v>
      </c>
      <c r="I166" s="7">
        <v>123.37</v>
      </c>
      <c r="J166" s="11">
        <f t="shared" si="23"/>
        <v>111.83722222222222</v>
      </c>
      <c r="K166">
        <v>26</v>
      </c>
      <c r="L166" s="7">
        <v>995.25</v>
      </c>
      <c r="M166" s="11">
        <f t="shared" si="24"/>
        <v>693.74263157894745</v>
      </c>
      <c r="N166">
        <v>26</v>
      </c>
      <c r="O166" s="7">
        <v>280.26</v>
      </c>
      <c r="P166" s="11">
        <f t="shared" si="25"/>
        <v>256.32526315789482</v>
      </c>
      <c r="Q166">
        <v>2</v>
      </c>
      <c r="R166" s="15">
        <v>15.93</v>
      </c>
      <c r="S166" s="11">
        <f t="shared" si="26"/>
        <v>63.705789473684213</v>
      </c>
      <c r="T166" s="8">
        <v>26</v>
      </c>
      <c r="U166" s="8">
        <f t="shared" si="21"/>
        <v>156.88999999999999</v>
      </c>
      <c r="V166" s="11">
        <f t="shared" si="27"/>
        <v>141.94888888888892</v>
      </c>
      <c r="W166" s="11">
        <f t="shared" si="29"/>
        <v>117.70166666666667</v>
      </c>
    </row>
    <row r="167" spans="1:23" x14ac:dyDescent="0.3">
      <c r="A167" s="8">
        <f t="shared" si="28"/>
        <v>8</v>
      </c>
      <c r="B167" s="4">
        <v>41852</v>
      </c>
      <c r="C167" s="7">
        <v>104.23</v>
      </c>
      <c r="D167" s="11">
        <f t="shared" si="22"/>
        <v>92.337894736842102</v>
      </c>
      <c r="E167">
        <v>2</v>
      </c>
      <c r="F167" s="7">
        <v>37.479999999999997</v>
      </c>
      <c r="G167" s="11">
        <f t="shared" si="30"/>
        <v>45.191428571428567</v>
      </c>
      <c r="H167">
        <v>2</v>
      </c>
      <c r="I167" s="7">
        <v>91.61</v>
      </c>
      <c r="J167" s="11">
        <f t="shared" si="23"/>
        <v>89.390555555555537</v>
      </c>
      <c r="K167">
        <v>26</v>
      </c>
      <c r="L167" s="7">
        <v>526.73</v>
      </c>
      <c r="M167" s="11">
        <f t="shared" si="24"/>
        <v>417.0510526315789</v>
      </c>
      <c r="N167">
        <v>26</v>
      </c>
      <c r="O167" s="7">
        <v>219.29</v>
      </c>
      <c r="P167" s="11">
        <f t="shared" si="25"/>
        <v>208.76473684210529</v>
      </c>
      <c r="Q167">
        <v>2</v>
      </c>
      <c r="R167" s="15">
        <v>28.47</v>
      </c>
      <c r="S167" s="11">
        <f t="shared" si="26"/>
        <v>39.715789473684218</v>
      </c>
      <c r="T167" s="8">
        <v>26</v>
      </c>
      <c r="U167" s="8">
        <f t="shared" si="21"/>
        <v>127.67999999999999</v>
      </c>
      <c r="V167" s="11">
        <f t="shared" si="27"/>
        <v>118.48611111111111</v>
      </c>
      <c r="W167" s="11">
        <f t="shared" si="29"/>
        <v>113.70416666666669</v>
      </c>
    </row>
    <row r="168" spans="1:23" x14ac:dyDescent="0.3">
      <c r="A168" s="8">
        <f t="shared" si="28"/>
        <v>9</v>
      </c>
      <c r="B168" s="4">
        <v>41883</v>
      </c>
      <c r="C168" s="7">
        <v>87.94</v>
      </c>
      <c r="D168" s="11">
        <f t="shared" si="22"/>
        <v>72.209473684210522</v>
      </c>
      <c r="E168">
        <v>2</v>
      </c>
      <c r="G168" s="11">
        <f t="shared" si="30"/>
        <v>44.037692307692296</v>
      </c>
      <c r="H168">
        <v>151</v>
      </c>
      <c r="I168" s="7">
        <v>66.88</v>
      </c>
      <c r="J168" s="11">
        <f t="shared" si="23"/>
        <v>64.317222222222213</v>
      </c>
      <c r="K168">
        <v>26</v>
      </c>
      <c r="L168" s="7">
        <v>369.28</v>
      </c>
      <c r="M168" s="11">
        <f t="shared" si="24"/>
        <v>300.97526315789474</v>
      </c>
      <c r="N168">
        <v>26</v>
      </c>
      <c r="O168" s="7">
        <v>177.88</v>
      </c>
      <c r="P168" s="11">
        <f t="shared" si="25"/>
        <v>173.37368421052631</v>
      </c>
      <c r="Q168">
        <v>2</v>
      </c>
      <c r="R168" s="15">
        <v>22.4</v>
      </c>
      <c r="S168" s="11">
        <f t="shared" si="26"/>
        <v>68.976315789473688</v>
      </c>
      <c r="T168" s="8">
        <v>26</v>
      </c>
      <c r="U168" s="8">
        <f t="shared" si="21"/>
        <v>111</v>
      </c>
      <c r="V168" s="11">
        <f t="shared" si="27"/>
        <v>108.505</v>
      </c>
      <c r="W168" s="11">
        <f t="shared" si="29"/>
        <v>111.70916666666669</v>
      </c>
    </row>
    <row r="169" spans="1:23" x14ac:dyDescent="0.3">
      <c r="A169" s="8">
        <f t="shared" si="28"/>
        <v>10</v>
      </c>
      <c r="B169" s="4">
        <v>41913</v>
      </c>
      <c r="C169" s="7">
        <v>70.38</v>
      </c>
      <c r="D169" s="11">
        <f t="shared" si="22"/>
        <v>53.688421052631583</v>
      </c>
      <c r="E169">
        <v>2</v>
      </c>
      <c r="G169" s="11">
        <f t="shared" si="30"/>
        <v>38.246428571428574</v>
      </c>
      <c r="H169">
        <v>151</v>
      </c>
      <c r="I169" s="7">
        <v>46.69</v>
      </c>
      <c r="J169" s="11">
        <f t="shared" si="23"/>
        <v>43.578947368421062</v>
      </c>
      <c r="K169">
        <v>26</v>
      </c>
      <c r="L169" s="7">
        <v>282.10000000000002</v>
      </c>
      <c r="M169" s="11">
        <f t="shared" si="24"/>
        <v>237.62421052631578</v>
      </c>
      <c r="N169">
        <v>26</v>
      </c>
      <c r="O169" s="7">
        <v>145.22999999999999</v>
      </c>
      <c r="P169" s="11">
        <f t="shared" si="25"/>
        <v>143.08473684210523</v>
      </c>
      <c r="Q169">
        <v>2</v>
      </c>
      <c r="R169" s="15">
        <v>16.75</v>
      </c>
      <c r="S169" s="11">
        <f t="shared" si="26"/>
        <v>56.208947368421043</v>
      </c>
      <c r="T169" s="8">
        <v>26</v>
      </c>
      <c r="U169" s="8">
        <f t="shared" si="21"/>
        <v>98.539999999999992</v>
      </c>
      <c r="V169" s="11">
        <f t="shared" si="27"/>
        <v>99.505789473684189</v>
      </c>
      <c r="W169" s="11">
        <f t="shared" si="29"/>
        <v>110.86666666666669</v>
      </c>
    </row>
    <row r="170" spans="1:23" x14ac:dyDescent="0.3">
      <c r="A170" s="8">
        <f t="shared" si="28"/>
        <v>11</v>
      </c>
      <c r="B170" s="4">
        <v>41944</v>
      </c>
      <c r="C170" s="7">
        <v>82.43</v>
      </c>
      <c r="D170" s="11">
        <f t="shared" si="22"/>
        <v>65.729473684210518</v>
      </c>
      <c r="E170">
        <v>2</v>
      </c>
      <c r="G170" s="11">
        <f t="shared" si="30"/>
        <v>31.170666666666669</v>
      </c>
      <c r="H170">
        <v>151</v>
      </c>
      <c r="I170" s="7">
        <v>49.31</v>
      </c>
      <c r="J170" s="11">
        <f t="shared" si="23"/>
        <v>42.795263157894738</v>
      </c>
      <c r="K170">
        <v>26</v>
      </c>
      <c r="L170" s="7">
        <v>260.92</v>
      </c>
      <c r="M170" s="11">
        <f t="shared" si="24"/>
        <v>234.77473684210523</v>
      </c>
      <c r="N170">
        <v>26</v>
      </c>
      <c r="O170" s="7">
        <v>152</v>
      </c>
      <c r="P170" s="11">
        <f t="shared" si="25"/>
        <v>138.83421052631579</v>
      </c>
      <c r="Q170">
        <v>2</v>
      </c>
      <c r="R170" s="15">
        <v>43.85</v>
      </c>
      <c r="S170" s="11">
        <f t="shared" si="26"/>
        <v>58.608421052631591</v>
      </c>
      <c r="T170" s="8">
        <v>26</v>
      </c>
      <c r="U170" s="8">
        <f t="shared" si="21"/>
        <v>102.69</v>
      </c>
      <c r="V170" s="11">
        <f t="shared" si="27"/>
        <v>96.038947368421077</v>
      </c>
      <c r="W170" s="11">
        <f t="shared" si="29"/>
        <v>110.99166666666667</v>
      </c>
    </row>
    <row r="171" spans="1:23" x14ac:dyDescent="0.3">
      <c r="A171" s="8">
        <f t="shared" si="28"/>
        <v>12</v>
      </c>
      <c r="B171" s="4">
        <v>41974</v>
      </c>
      <c r="C171" s="7">
        <v>427.63</v>
      </c>
      <c r="D171" s="11">
        <f t="shared" si="22"/>
        <v>164.87789473684211</v>
      </c>
      <c r="E171">
        <v>2</v>
      </c>
      <c r="G171" s="11">
        <f t="shared" si="30"/>
        <v>29.229375000000001</v>
      </c>
      <c r="H171">
        <v>151</v>
      </c>
      <c r="I171" s="7">
        <v>224.79</v>
      </c>
      <c r="J171" s="11">
        <f t="shared" si="23"/>
        <v>123.60999999999999</v>
      </c>
      <c r="K171">
        <v>26</v>
      </c>
      <c r="L171" s="7">
        <v>344.09</v>
      </c>
      <c r="M171" s="11">
        <f t="shared" si="24"/>
        <v>340.84421052631575</v>
      </c>
      <c r="N171">
        <v>26</v>
      </c>
      <c r="O171" s="7">
        <v>280.02</v>
      </c>
      <c r="P171" s="11">
        <f t="shared" si="25"/>
        <v>216.46631578947367</v>
      </c>
      <c r="Q171">
        <v>26</v>
      </c>
      <c r="R171" s="15">
        <v>56.47</v>
      </c>
      <c r="S171" s="11">
        <f t="shared" si="26"/>
        <v>129.68894736842105</v>
      </c>
      <c r="T171" s="8">
        <v>26</v>
      </c>
      <c r="U171" s="8">
        <f t="shared" si="21"/>
        <v>55.22999999999999</v>
      </c>
      <c r="V171" s="11">
        <f t="shared" si="27"/>
        <v>92.856315789473669</v>
      </c>
      <c r="W171" s="11">
        <f t="shared" si="29"/>
        <v>110.19500000000001</v>
      </c>
    </row>
    <row r="172" spans="1:23" x14ac:dyDescent="0.3">
      <c r="A172" s="8">
        <f t="shared" si="28"/>
        <v>1</v>
      </c>
      <c r="B172" s="4">
        <v>42005</v>
      </c>
      <c r="C172" s="7">
        <v>213.08</v>
      </c>
      <c r="D172" s="11">
        <f t="shared" si="22"/>
        <v>262.35600000000005</v>
      </c>
      <c r="E172">
        <v>2</v>
      </c>
      <c r="G172" s="11">
        <f t="shared" si="30"/>
        <v>30.8</v>
      </c>
      <c r="H172">
        <v>151</v>
      </c>
      <c r="I172" s="7">
        <v>263.35000000000002</v>
      </c>
      <c r="J172" s="11">
        <f t="shared" si="23"/>
        <v>241.63399999999996</v>
      </c>
      <c r="K172">
        <v>26</v>
      </c>
      <c r="L172" s="7">
        <v>536.23</v>
      </c>
      <c r="M172" s="11">
        <f t="shared" si="24"/>
        <v>671.20894736842092</v>
      </c>
      <c r="N172">
        <v>26</v>
      </c>
      <c r="O172" s="7">
        <v>375.53</v>
      </c>
      <c r="P172" s="11">
        <f t="shared" si="25"/>
        <v>362.94894736842105</v>
      </c>
      <c r="Q172">
        <v>26</v>
      </c>
      <c r="R172" s="15">
        <v>10.31</v>
      </c>
      <c r="S172" s="11">
        <f t="shared" si="26"/>
        <v>90.957368421052621</v>
      </c>
      <c r="T172" s="8">
        <v>26</v>
      </c>
      <c r="U172" s="8">
        <f t="shared" si="21"/>
        <v>112.17999999999995</v>
      </c>
      <c r="V172" s="11">
        <f t="shared" si="27"/>
        <v>126.33499999999998</v>
      </c>
      <c r="W172" s="11">
        <f t="shared" si="29"/>
        <v>112.64166666666667</v>
      </c>
    </row>
    <row r="173" spans="1:23" x14ac:dyDescent="0.3">
      <c r="A173" s="8">
        <f t="shared" si="28"/>
        <v>2</v>
      </c>
      <c r="B173" s="4">
        <v>42036</v>
      </c>
      <c r="C173" s="7">
        <v>183.43</v>
      </c>
      <c r="D173" s="11">
        <f t="shared" si="22"/>
        <v>328.9663157894737</v>
      </c>
      <c r="E173">
        <v>2</v>
      </c>
      <c r="G173" s="11">
        <f t="shared" si="30"/>
        <v>33.1875</v>
      </c>
      <c r="H173">
        <v>151</v>
      </c>
      <c r="I173" s="7">
        <v>504.96</v>
      </c>
      <c r="J173" s="11">
        <f t="shared" si="23"/>
        <v>334.30099999999993</v>
      </c>
      <c r="K173">
        <v>26</v>
      </c>
      <c r="L173" s="7">
        <v>871.9</v>
      </c>
      <c r="M173" s="11">
        <f t="shared" si="24"/>
        <v>1650.3500000000001</v>
      </c>
      <c r="N173">
        <v>1</v>
      </c>
      <c r="O173" s="7">
        <v>544.58000000000004</v>
      </c>
      <c r="P173" s="11">
        <f t="shared" si="25"/>
        <v>463.72789473684207</v>
      </c>
      <c r="Q173">
        <v>26</v>
      </c>
      <c r="R173" s="15">
        <v>56.71</v>
      </c>
      <c r="S173" s="11">
        <f t="shared" si="26"/>
        <v>109.05882352941175</v>
      </c>
      <c r="T173" s="8">
        <v>26</v>
      </c>
      <c r="U173" s="8">
        <f t="shared" ref="U173:U236" si="31">IF(AND(O173&gt;0,I173&gt;0),O173-I173,"")</f>
        <v>39.620000000000061</v>
      </c>
      <c r="V173" s="11">
        <f t="shared" si="27"/>
        <v>134.9257894736842</v>
      </c>
      <c r="W173" s="11">
        <f t="shared" si="29"/>
        <v>108.05333333333334</v>
      </c>
    </row>
    <row r="174" spans="1:23" x14ac:dyDescent="0.3">
      <c r="A174" s="8">
        <f t="shared" si="28"/>
        <v>3</v>
      </c>
      <c r="B174" s="4">
        <v>42064</v>
      </c>
      <c r="C174" s="7">
        <v>194.6</v>
      </c>
      <c r="D174" s="11">
        <f t="shared" si="22"/>
        <v>469.14</v>
      </c>
      <c r="E174">
        <v>2</v>
      </c>
      <c r="G174" s="11">
        <f t="shared" si="30"/>
        <v>37.004666666666672</v>
      </c>
      <c r="H174">
        <v>151</v>
      </c>
      <c r="I174" s="7">
        <v>430.08</v>
      </c>
      <c r="J174" s="11">
        <f t="shared" si="23"/>
        <v>431.04200000000003</v>
      </c>
      <c r="K174">
        <v>26</v>
      </c>
      <c r="L174" s="7">
        <v>1277.32</v>
      </c>
      <c r="M174" s="11">
        <f t="shared" si="24"/>
        <v>3124.677368421053</v>
      </c>
      <c r="N174">
        <v>1</v>
      </c>
      <c r="O174" s="7">
        <v>564.95000000000005</v>
      </c>
      <c r="P174" s="11">
        <f t="shared" si="25"/>
        <v>565.95157894736838</v>
      </c>
      <c r="Q174">
        <v>26</v>
      </c>
      <c r="R174" s="15">
        <v>20.22</v>
      </c>
      <c r="S174" s="11">
        <f t="shared" si="26"/>
        <v>223.16157894736844</v>
      </c>
      <c r="T174" s="8">
        <v>26</v>
      </c>
      <c r="U174" s="8">
        <f t="shared" si="31"/>
        <v>134.87000000000006</v>
      </c>
      <c r="V174" s="11">
        <f t="shared" si="27"/>
        <v>138.05736842105264</v>
      </c>
      <c r="W174" s="11">
        <f t="shared" si="29"/>
        <v>110.55666666666667</v>
      </c>
    </row>
    <row r="175" spans="1:23" x14ac:dyDescent="0.3">
      <c r="A175" s="8">
        <f t="shared" si="28"/>
        <v>4</v>
      </c>
      <c r="B175" s="4">
        <v>42095</v>
      </c>
      <c r="C175" s="7">
        <v>266.02999999999997</v>
      </c>
      <c r="D175" s="11">
        <f t="shared" si="22"/>
        <v>589.29650000000015</v>
      </c>
      <c r="E175">
        <v>2</v>
      </c>
      <c r="G175" s="11">
        <f t="shared" si="30"/>
        <v>37.96</v>
      </c>
      <c r="H175">
        <v>151</v>
      </c>
      <c r="I175" s="7">
        <v>355.65</v>
      </c>
      <c r="J175" s="11">
        <f t="shared" si="23"/>
        <v>483.73894736842101</v>
      </c>
      <c r="K175">
        <v>26</v>
      </c>
      <c r="L175" s="7">
        <v>1470.2</v>
      </c>
      <c r="M175" s="11">
        <f t="shared" si="24"/>
        <v>3744.6268421052641</v>
      </c>
      <c r="N175">
        <v>1</v>
      </c>
      <c r="O175" s="7">
        <v>533.59</v>
      </c>
      <c r="P175" s="11">
        <f t="shared" si="25"/>
        <v>682.00947368421055</v>
      </c>
      <c r="Q175">
        <v>1</v>
      </c>
      <c r="R175" s="15">
        <v>52.58</v>
      </c>
      <c r="S175" s="11">
        <f t="shared" si="26"/>
        <v>222.48684210526312</v>
      </c>
      <c r="T175" s="8">
        <v>26</v>
      </c>
      <c r="U175" s="8">
        <f t="shared" si="31"/>
        <v>177.94000000000005</v>
      </c>
      <c r="V175" s="11">
        <f t="shared" si="27"/>
        <v>198.27052631578945</v>
      </c>
      <c r="W175" s="11">
        <f t="shared" si="29"/>
        <v>101.09249999999999</v>
      </c>
    </row>
    <row r="176" spans="1:23" x14ac:dyDescent="0.3">
      <c r="A176" s="8">
        <f t="shared" si="28"/>
        <v>5</v>
      </c>
      <c r="B176" s="4">
        <v>42125</v>
      </c>
      <c r="C176" s="7">
        <v>136.88</v>
      </c>
      <c r="D176" s="11">
        <f t="shared" si="22"/>
        <v>310.70526315789482</v>
      </c>
      <c r="E176">
        <v>2</v>
      </c>
      <c r="G176" s="11">
        <f t="shared" si="30"/>
        <v>38.770000000000003</v>
      </c>
      <c r="H176">
        <v>151</v>
      </c>
      <c r="I176" s="7">
        <v>217.64</v>
      </c>
      <c r="J176" s="11">
        <f t="shared" si="23"/>
        <v>306.97578947368419</v>
      </c>
      <c r="K176">
        <v>26</v>
      </c>
      <c r="L176" s="7">
        <v>1566.06</v>
      </c>
      <c r="M176" s="11">
        <f t="shared" si="24"/>
        <v>2961.8094736842104</v>
      </c>
      <c r="N176">
        <v>1</v>
      </c>
      <c r="O176" s="7">
        <v>379.65</v>
      </c>
      <c r="P176" s="11">
        <f t="shared" si="25"/>
        <v>530.60473684210535</v>
      </c>
      <c r="Q176">
        <v>1</v>
      </c>
      <c r="R176" s="15">
        <v>43.89</v>
      </c>
      <c r="S176" s="11">
        <f t="shared" si="26"/>
        <v>164.41473684210524</v>
      </c>
      <c r="T176" s="8">
        <v>26</v>
      </c>
      <c r="U176" s="8">
        <f t="shared" si="31"/>
        <v>162.01</v>
      </c>
      <c r="V176" s="11">
        <f t="shared" si="27"/>
        <v>223.628947368421</v>
      </c>
      <c r="W176" s="11">
        <f t="shared" si="29"/>
        <v>99.099166666666648</v>
      </c>
    </row>
    <row r="177" spans="1:23" x14ac:dyDescent="0.3">
      <c r="A177" s="8">
        <f t="shared" si="28"/>
        <v>6</v>
      </c>
      <c r="B177" s="4">
        <v>42156</v>
      </c>
      <c r="C177" s="7">
        <v>92.55</v>
      </c>
      <c r="D177" s="11">
        <f t="shared" si="22"/>
        <v>145.28526315789475</v>
      </c>
      <c r="E177">
        <v>2</v>
      </c>
      <c r="G177" s="11">
        <f t="shared" si="30"/>
        <v>40.809285714285714</v>
      </c>
      <c r="H177">
        <v>151</v>
      </c>
      <c r="I177" s="7">
        <v>130.05000000000001</v>
      </c>
      <c r="J177" s="11">
        <f t="shared" si="23"/>
        <v>158.42111111111114</v>
      </c>
      <c r="K177">
        <v>26</v>
      </c>
      <c r="L177" s="7">
        <v>1141.42</v>
      </c>
      <c r="M177" s="11">
        <f t="shared" si="24"/>
        <v>1490.274210526316</v>
      </c>
      <c r="N177">
        <v>1</v>
      </c>
      <c r="O177" s="7">
        <v>263.82</v>
      </c>
      <c r="P177" s="11">
        <f t="shared" si="25"/>
        <v>340.09052631578948</v>
      </c>
      <c r="Q177">
        <v>1</v>
      </c>
      <c r="R177" s="15">
        <v>38.81</v>
      </c>
      <c r="S177" s="11">
        <f t="shared" si="26"/>
        <v>102.51894736842105</v>
      </c>
      <c r="T177" s="8">
        <v>26</v>
      </c>
      <c r="U177" s="8">
        <f t="shared" si="31"/>
        <v>133.76999999999998</v>
      </c>
      <c r="V177" s="11">
        <f t="shared" si="27"/>
        <v>179.35777777777776</v>
      </c>
      <c r="W177" s="11">
        <f t="shared" si="29"/>
        <v>104.06499999999998</v>
      </c>
    </row>
    <row r="178" spans="1:23" x14ac:dyDescent="0.3">
      <c r="A178" s="8">
        <f t="shared" si="28"/>
        <v>7</v>
      </c>
      <c r="B178" s="4">
        <v>42186</v>
      </c>
      <c r="C178" s="7">
        <v>74.66</v>
      </c>
      <c r="D178" s="11">
        <f t="shared" si="22"/>
        <v>111.3</v>
      </c>
      <c r="E178">
        <v>2</v>
      </c>
      <c r="G178" s="11">
        <f t="shared" si="30"/>
        <v>43.05</v>
      </c>
      <c r="H178">
        <v>151</v>
      </c>
      <c r="I178" s="7">
        <v>99.5</v>
      </c>
      <c r="J178" s="11">
        <f t="shared" si="23"/>
        <v>111.83722222222222</v>
      </c>
      <c r="K178">
        <v>26</v>
      </c>
      <c r="L178" s="7">
        <v>541.71</v>
      </c>
      <c r="M178" s="11">
        <f t="shared" si="24"/>
        <v>693.74263157894745</v>
      </c>
      <c r="N178">
        <v>1</v>
      </c>
      <c r="O178" s="7">
        <v>208.42</v>
      </c>
      <c r="P178" s="11">
        <f t="shared" si="25"/>
        <v>256.32526315789482</v>
      </c>
      <c r="Q178">
        <v>1</v>
      </c>
      <c r="R178" s="15">
        <v>50.37</v>
      </c>
      <c r="S178" s="11">
        <f t="shared" si="26"/>
        <v>63.705789473684213</v>
      </c>
      <c r="T178" s="8">
        <v>26</v>
      </c>
      <c r="U178" s="8">
        <f t="shared" si="31"/>
        <v>108.91999999999999</v>
      </c>
      <c r="V178" s="11">
        <f t="shared" si="27"/>
        <v>141.94888888888892</v>
      </c>
      <c r="W178" s="11">
        <f t="shared" si="29"/>
        <v>106.47583333333331</v>
      </c>
    </row>
    <row r="179" spans="1:23" x14ac:dyDescent="0.3">
      <c r="A179" s="8">
        <f t="shared" si="28"/>
        <v>8</v>
      </c>
      <c r="B179" s="4">
        <v>42217</v>
      </c>
      <c r="C179" s="7">
        <v>61.56</v>
      </c>
      <c r="D179" s="11">
        <f t="shared" si="22"/>
        <v>92.337894736842102</v>
      </c>
      <c r="E179">
        <v>2</v>
      </c>
      <c r="G179" s="11">
        <f t="shared" si="30"/>
        <v>45.191428571428567</v>
      </c>
      <c r="H179">
        <v>151</v>
      </c>
      <c r="I179" s="7">
        <v>79.040000000000006</v>
      </c>
      <c r="J179" s="11">
        <f t="shared" si="23"/>
        <v>89.390555555555537</v>
      </c>
      <c r="K179">
        <v>26</v>
      </c>
      <c r="L179" s="7">
        <v>357.79</v>
      </c>
      <c r="M179" s="11">
        <f t="shared" si="24"/>
        <v>417.0510526315789</v>
      </c>
      <c r="N179">
        <v>1</v>
      </c>
      <c r="O179" s="7">
        <v>182.78</v>
      </c>
      <c r="P179" s="11">
        <f t="shared" si="25"/>
        <v>208.76473684210529</v>
      </c>
      <c r="Q179">
        <v>2</v>
      </c>
      <c r="R179" s="15">
        <v>45.81</v>
      </c>
      <c r="S179" s="11">
        <f t="shared" si="26"/>
        <v>39.715789473684218</v>
      </c>
      <c r="T179" s="8">
        <v>26</v>
      </c>
      <c r="U179" s="8">
        <f t="shared" si="31"/>
        <v>103.74</v>
      </c>
      <c r="V179" s="11">
        <f t="shared" si="27"/>
        <v>118.48611111111111</v>
      </c>
      <c r="W179" s="11">
        <f t="shared" si="29"/>
        <v>107.61166666666666</v>
      </c>
    </row>
    <row r="180" spans="1:23" x14ac:dyDescent="0.3">
      <c r="A180" s="8">
        <f t="shared" si="28"/>
        <v>9</v>
      </c>
      <c r="B180" s="4">
        <v>42248</v>
      </c>
      <c r="C180" s="7">
        <v>64.2</v>
      </c>
      <c r="D180" s="11">
        <f t="shared" si="22"/>
        <v>72.209473684210522</v>
      </c>
      <c r="E180">
        <v>2</v>
      </c>
      <c r="G180" s="11">
        <f t="shared" si="30"/>
        <v>44.037692307692296</v>
      </c>
      <c r="H180">
        <v>151</v>
      </c>
      <c r="I180" s="7">
        <v>55.86</v>
      </c>
      <c r="J180" s="11">
        <f t="shared" si="23"/>
        <v>64.317222222222213</v>
      </c>
      <c r="K180">
        <v>26</v>
      </c>
      <c r="L180" s="7">
        <v>267.5</v>
      </c>
      <c r="M180" s="11">
        <f t="shared" si="24"/>
        <v>300.97526315789474</v>
      </c>
      <c r="N180">
        <v>26</v>
      </c>
      <c r="O180" s="7">
        <v>156.75</v>
      </c>
      <c r="P180" s="11">
        <f t="shared" si="25"/>
        <v>173.37368421052631</v>
      </c>
      <c r="Q180">
        <v>2</v>
      </c>
      <c r="R180" s="15">
        <v>34.15</v>
      </c>
      <c r="S180" s="11">
        <f t="shared" si="26"/>
        <v>68.976315789473688</v>
      </c>
      <c r="T180" s="8">
        <v>26</v>
      </c>
      <c r="U180" s="8">
        <f t="shared" si="31"/>
        <v>100.89</v>
      </c>
      <c r="V180" s="11">
        <f t="shared" si="27"/>
        <v>108.505</v>
      </c>
      <c r="W180" s="11">
        <f t="shared" si="29"/>
        <v>108.25416666666666</v>
      </c>
    </row>
    <row r="181" spans="1:23" x14ac:dyDescent="0.3">
      <c r="A181" s="8">
        <f t="shared" si="28"/>
        <v>10</v>
      </c>
      <c r="B181" s="4">
        <v>42278</v>
      </c>
      <c r="C181" s="7">
        <v>55.55</v>
      </c>
      <c r="D181" s="11">
        <f t="shared" si="22"/>
        <v>53.688421052631583</v>
      </c>
      <c r="E181">
        <v>104</v>
      </c>
      <c r="G181" s="11">
        <f t="shared" si="30"/>
        <v>38.246428571428574</v>
      </c>
      <c r="H181">
        <v>151</v>
      </c>
      <c r="I181" s="7">
        <v>35.04</v>
      </c>
      <c r="J181" s="11">
        <f t="shared" si="23"/>
        <v>43.578947368421062</v>
      </c>
      <c r="K181">
        <v>26</v>
      </c>
      <c r="L181" s="7">
        <v>210.72</v>
      </c>
      <c r="M181" s="11">
        <f t="shared" si="24"/>
        <v>237.62421052631578</v>
      </c>
      <c r="N181">
        <v>26</v>
      </c>
      <c r="O181" s="7">
        <v>135.08000000000001</v>
      </c>
      <c r="P181" s="11">
        <f t="shared" si="25"/>
        <v>143.08473684210523</v>
      </c>
      <c r="Q181">
        <v>2</v>
      </c>
      <c r="R181" s="15">
        <v>13.31</v>
      </c>
      <c r="S181" s="11">
        <f t="shared" si="26"/>
        <v>56.208947368421043</v>
      </c>
      <c r="T181" s="8">
        <v>26</v>
      </c>
      <c r="U181" s="8">
        <f t="shared" si="31"/>
        <v>100.04000000000002</v>
      </c>
      <c r="V181" s="11">
        <f t="shared" si="27"/>
        <v>99.505789473684189</v>
      </c>
      <c r="W181" s="11">
        <f t="shared" si="29"/>
        <v>108.55250000000001</v>
      </c>
    </row>
    <row r="182" spans="1:23" x14ac:dyDescent="0.3">
      <c r="A182" s="8">
        <f t="shared" si="28"/>
        <v>11</v>
      </c>
      <c r="B182" s="4">
        <v>42309</v>
      </c>
      <c r="C182" s="7">
        <v>69.349999999999994</v>
      </c>
      <c r="D182" s="11">
        <f t="shared" si="22"/>
        <v>65.729473684210518</v>
      </c>
      <c r="E182">
        <v>1</v>
      </c>
      <c r="G182" s="11">
        <f t="shared" si="30"/>
        <v>31.170666666666669</v>
      </c>
      <c r="H182">
        <v>151</v>
      </c>
      <c r="I182" s="7">
        <v>22.3</v>
      </c>
      <c r="J182" s="11">
        <f t="shared" si="23"/>
        <v>42.795263157894738</v>
      </c>
      <c r="K182">
        <v>26</v>
      </c>
      <c r="L182" s="7">
        <v>207.96</v>
      </c>
      <c r="M182" s="11">
        <f t="shared" si="24"/>
        <v>234.77473684210523</v>
      </c>
      <c r="N182">
        <v>26</v>
      </c>
      <c r="O182" s="7">
        <v>115.43</v>
      </c>
      <c r="P182" s="11">
        <f t="shared" si="25"/>
        <v>138.83421052631579</v>
      </c>
      <c r="Q182">
        <v>2</v>
      </c>
      <c r="R182" s="15">
        <v>8.9</v>
      </c>
      <c r="S182" s="11">
        <f t="shared" si="26"/>
        <v>58.608421052631591</v>
      </c>
      <c r="T182" s="8">
        <v>1</v>
      </c>
      <c r="U182" s="8">
        <f t="shared" si="31"/>
        <v>93.13000000000001</v>
      </c>
      <c r="V182" s="11">
        <f t="shared" si="27"/>
        <v>96.038947368421077</v>
      </c>
      <c r="W182" s="11">
        <f t="shared" si="29"/>
        <v>109.90583333333332</v>
      </c>
    </row>
    <row r="183" spans="1:23" x14ac:dyDescent="0.3">
      <c r="A183" s="8">
        <f t="shared" si="28"/>
        <v>12</v>
      </c>
      <c r="B183" s="4">
        <v>42339</v>
      </c>
      <c r="C183" s="7">
        <v>84.6</v>
      </c>
      <c r="D183" s="11">
        <f t="shared" si="22"/>
        <v>164.87789473684211</v>
      </c>
      <c r="E183">
        <v>1</v>
      </c>
      <c r="F183" s="7">
        <v>17.71</v>
      </c>
      <c r="G183" s="11">
        <f t="shared" si="30"/>
        <v>29.229375000000001</v>
      </c>
      <c r="H183">
        <v>2</v>
      </c>
      <c r="I183" s="7">
        <v>42.58</v>
      </c>
      <c r="J183" s="11">
        <f t="shared" si="23"/>
        <v>123.60999999999999</v>
      </c>
      <c r="K183">
        <v>26</v>
      </c>
      <c r="L183" s="7">
        <v>266.08</v>
      </c>
      <c r="M183" s="11">
        <f t="shared" si="24"/>
        <v>340.84421052631575</v>
      </c>
      <c r="N183">
        <v>1</v>
      </c>
      <c r="O183" s="7">
        <v>127.17</v>
      </c>
      <c r="P183" s="11">
        <f t="shared" si="25"/>
        <v>216.46631578947367</v>
      </c>
      <c r="Q183">
        <v>2</v>
      </c>
      <c r="R183" s="15">
        <v>15.79</v>
      </c>
      <c r="S183" s="11">
        <f t="shared" si="26"/>
        <v>129.68894736842105</v>
      </c>
      <c r="T183" s="8">
        <v>1</v>
      </c>
      <c r="U183" s="8">
        <f t="shared" si="31"/>
        <v>84.59</v>
      </c>
      <c r="V183" s="11">
        <f t="shared" si="27"/>
        <v>92.856315789473669</v>
      </c>
      <c r="W183" s="11">
        <f t="shared" si="29"/>
        <v>112.93583333333333</v>
      </c>
    </row>
    <row r="184" spans="1:23" x14ac:dyDescent="0.3">
      <c r="A184" s="8">
        <f t="shared" si="28"/>
        <v>1</v>
      </c>
      <c r="B184" s="4">
        <v>42370</v>
      </c>
      <c r="C184" s="7">
        <v>433.93</v>
      </c>
      <c r="D184" s="11">
        <f t="shared" si="22"/>
        <v>262.35600000000005</v>
      </c>
      <c r="E184">
        <v>1</v>
      </c>
      <c r="F184" s="7">
        <v>18.079999999999998</v>
      </c>
      <c r="G184" s="11">
        <f t="shared" si="30"/>
        <v>30.8</v>
      </c>
      <c r="H184">
        <v>2</v>
      </c>
      <c r="I184" s="7">
        <v>190.36</v>
      </c>
      <c r="J184" s="11">
        <f t="shared" si="23"/>
        <v>241.63399999999996</v>
      </c>
      <c r="K184">
        <v>2</v>
      </c>
      <c r="L184" s="7">
        <v>437.26</v>
      </c>
      <c r="M184" s="11">
        <f t="shared" si="24"/>
        <v>671.20894736842092</v>
      </c>
      <c r="N184">
        <v>1</v>
      </c>
      <c r="O184" s="7">
        <v>247.48</v>
      </c>
      <c r="P184" s="11">
        <f t="shared" si="25"/>
        <v>362.94894736842105</v>
      </c>
      <c r="Q184">
        <v>2</v>
      </c>
      <c r="R184" s="15">
        <v>13.81</v>
      </c>
      <c r="S184" s="11">
        <f t="shared" si="26"/>
        <v>90.957368421052621</v>
      </c>
      <c r="T184" s="8">
        <v>1</v>
      </c>
      <c r="U184" s="8">
        <f t="shared" si="31"/>
        <v>57.119999999999976</v>
      </c>
      <c r="V184" s="11">
        <f t="shared" si="27"/>
        <v>126.33499999999998</v>
      </c>
      <c r="W184" s="11">
        <f t="shared" si="29"/>
        <v>121.04416666666668</v>
      </c>
    </row>
    <row r="185" spans="1:23" x14ac:dyDescent="0.3">
      <c r="A185" s="8">
        <f t="shared" si="28"/>
        <v>2</v>
      </c>
      <c r="B185" s="4">
        <v>42401</v>
      </c>
      <c r="C185" s="7">
        <v>403.35</v>
      </c>
      <c r="D185" s="11">
        <f t="shared" si="22"/>
        <v>328.9663157894737</v>
      </c>
      <c r="E185">
        <v>1</v>
      </c>
      <c r="F185" s="7">
        <v>18.22</v>
      </c>
      <c r="G185" s="11">
        <f t="shared" si="30"/>
        <v>33.1875</v>
      </c>
      <c r="H185">
        <v>2</v>
      </c>
      <c r="I185" s="7">
        <v>308.5</v>
      </c>
      <c r="J185" s="11">
        <f t="shared" si="23"/>
        <v>334.30099999999993</v>
      </c>
      <c r="K185">
        <v>2</v>
      </c>
      <c r="L185" s="7">
        <v>790.22</v>
      </c>
      <c r="M185" s="11">
        <f t="shared" si="24"/>
        <v>1650.3500000000001</v>
      </c>
      <c r="N185">
        <v>1</v>
      </c>
      <c r="O185" s="7">
        <v>378.16</v>
      </c>
      <c r="P185" s="11">
        <f t="shared" si="25"/>
        <v>463.72789473684207</v>
      </c>
      <c r="Q185">
        <v>2</v>
      </c>
      <c r="R185" s="15">
        <v>31.33</v>
      </c>
      <c r="S185" s="11">
        <f t="shared" si="26"/>
        <v>109.05882352941175</v>
      </c>
      <c r="T185" s="8">
        <v>1</v>
      </c>
      <c r="U185" s="8">
        <f t="shared" si="31"/>
        <v>69.660000000000025</v>
      </c>
      <c r="V185" s="11">
        <f t="shared" si="27"/>
        <v>134.9257894736842</v>
      </c>
      <c r="W185" s="11">
        <f t="shared" si="29"/>
        <v>135.28</v>
      </c>
    </row>
    <row r="186" spans="1:23" x14ac:dyDescent="0.3">
      <c r="A186" s="8">
        <f t="shared" si="28"/>
        <v>3</v>
      </c>
      <c r="B186" s="4">
        <v>42430</v>
      </c>
      <c r="C186" s="7">
        <v>625</v>
      </c>
      <c r="D186" s="11">
        <f t="shared" si="22"/>
        <v>469.14</v>
      </c>
      <c r="E186">
        <v>2</v>
      </c>
      <c r="F186" s="7">
        <v>19.61</v>
      </c>
      <c r="G186" s="11">
        <f t="shared" si="30"/>
        <v>37.004666666666672</v>
      </c>
      <c r="H186">
        <v>2</v>
      </c>
      <c r="I186" s="7">
        <v>446.92</v>
      </c>
      <c r="J186" s="11">
        <f t="shared" si="23"/>
        <v>431.04200000000003</v>
      </c>
      <c r="K186">
        <v>2</v>
      </c>
      <c r="L186" s="7">
        <v>2922.87</v>
      </c>
      <c r="M186" s="11">
        <f t="shared" si="24"/>
        <v>3124.677368421053</v>
      </c>
      <c r="N186">
        <v>1</v>
      </c>
      <c r="O186" s="7">
        <v>468.22</v>
      </c>
      <c r="P186" s="11">
        <f t="shared" si="25"/>
        <v>565.95157894736838</v>
      </c>
      <c r="Q186">
        <v>2</v>
      </c>
      <c r="R186" s="15"/>
      <c r="S186" s="11">
        <f t="shared" si="26"/>
        <v>223.16157894736844</v>
      </c>
      <c r="T186" s="8">
        <v>151</v>
      </c>
      <c r="U186" s="8">
        <f t="shared" si="31"/>
        <v>21.300000000000011</v>
      </c>
      <c r="V186" s="11">
        <f t="shared" si="27"/>
        <v>138.05736842105264</v>
      </c>
      <c r="W186" s="11">
        <f t="shared" si="29"/>
        <v>147.38750000000002</v>
      </c>
    </row>
    <row r="187" spans="1:23" x14ac:dyDescent="0.3">
      <c r="A187" s="8">
        <f t="shared" si="28"/>
        <v>4</v>
      </c>
      <c r="B187" s="4">
        <v>42461</v>
      </c>
      <c r="C187" s="7">
        <v>538.03</v>
      </c>
      <c r="D187" s="11">
        <f t="shared" si="22"/>
        <v>589.29650000000015</v>
      </c>
      <c r="E187">
        <v>2</v>
      </c>
      <c r="F187" s="7">
        <v>19.079999999999998</v>
      </c>
      <c r="G187" s="11">
        <f t="shared" si="30"/>
        <v>37.96</v>
      </c>
      <c r="H187">
        <v>2</v>
      </c>
      <c r="I187" s="7">
        <v>638.41</v>
      </c>
      <c r="J187" s="11">
        <f t="shared" si="23"/>
        <v>483.73894736842101</v>
      </c>
      <c r="K187">
        <v>2</v>
      </c>
      <c r="L187" s="7">
        <v>3610.69</v>
      </c>
      <c r="M187" s="11">
        <f t="shared" si="24"/>
        <v>3744.6268421052641</v>
      </c>
      <c r="N187">
        <v>1</v>
      </c>
      <c r="O187" s="7">
        <v>792.43</v>
      </c>
      <c r="P187" s="11">
        <f t="shared" si="25"/>
        <v>682.00947368421055</v>
      </c>
      <c r="Q187">
        <v>2</v>
      </c>
      <c r="R187" s="15">
        <v>21.01</v>
      </c>
      <c r="S187" s="11">
        <f t="shared" si="26"/>
        <v>222.48684210526312</v>
      </c>
      <c r="T187" s="8">
        <v>1</v>
      </c>
      <c r="U187" s="8">
        <f t="shared" si="31"/>
        <v>154.01999999999998</v>
      </c>
      <c r="V187" s="11">
        <f t="shared" si="27"/>
        <v>198.27052631578945</v>
      </c>
      <c r="W187" s="11">
        <f t="shared" si="29"/>
        <v>165.00583333333333</v>
      </c>
    </row>
    <row r="188" spans="1:23" x14ac:dyDescent="0.3">
      <c r="A188" s="8">
        <f t="shared" si="28"/>
        <v>5</v>
      </c>
      <c r="B188" s="4">
        <v>42491</v>
      </c>
      <c r="C188" s="7">
        <v>212.93</v>
      </c>
      <c r="D188" s="11">
        <f t="shared" si="22"/>
        <v>310.70526315789482</v>
      </c>
      <c r="E188">
        <v>2</v>
      </c>
      <c r="F188" s="7">
        <v>18.510000000000002</v>
      </c>
      <c r="G188" s="11">
        <f t="shared" si="30"/>
        <v>38.770000000000003</v>
      </c>
      <c r="H188">
        <v>2</v>
      </c>
      <c r="I188" s="7">
        <v>292.69</v>
      </c>
      <c r="J188" s="11">
        <f t="shared" si="23"/>
        <v>306.97578947368419</v>
      </c>
      <c r="K188">
        <v>2</v>
      </c>
      <c r="L188" s="7">
        <v>2721.59</v>
      </c>
      <c r="M188" s="11">
        <f t="shared" si="24"/>
        <v>2961.8094736842104</v>
      </c>
      <c r="N188">
        <v>1</v>
      </c>
      <c r="O188" s="7">
        <v>514.29</v>
      </c>
      <c r="P188" s="11">
        <f t="shared" si="25"/>
        <v>530.60473684210535</v>
      </c>
      <c r="Q188">
        <v>2</v>
      </c>
      <c r="R188" s="15">
        <v>18.78</v>
      </c>
      <c r="S188" s="11">
        <f t="shared" si="26"/>
        <v>164.41473684210524</v>
      </c>
      <c r="T188" s="8">
        <v>1</v>
      </c>
      <c r="U188" s="8">
        <f t="shared" si="31"/>
        <v>221.59999999999997</v>
      </c>
      <c r="V188" s="11">
        <f t="shared" si="27"/>
        <v>223.628947368421</v>
      </c>
      <c r="W188" s="11">
        <f t="shared" si="29"/>
        <v>171.40916666666666</v>
      </c>
    </row>
    <row r="189" spans="1:23" x14ac:dyDescent="0.3">
      <c r="A189" s="8">
        <f t="shared" si="28"/>
        <v>6</v>
      </c>
      <c r="B189" s="4">
        <v>42522</v>
      </c>
      <c r="C189" s="7">
        <v>117.7</v>
      </c>
      <c r="D189" s="11">
        <f t="shared" si="22"/>
        <v>145.28526315789475</v>
      </c>
      <c r="E189">
        <v>2</v>
      </c>
      <c r="F189" s="7">
        <v>18.649999999999999</v>
      </c>
      <c r="G189" s="11">
        <f t="shared" si="30"/>
        <v>40.809285714285714</v>
      </c>
      <c r="H189">
        <v>2</v>
      </c>
      <c r="I189" s="7">
        <v>152.16999999999999</v>
      </c>
      <c r="J189" s="11">
        <f t="shared" si="23"/>
        <v>158.42111111111114</v>
      </c>
      <c r="K189">
        <v>2</v>
      </c>
      <c r="L189" s="7">
        <v>1253.1500000000001</v>
      </c>
      <c r="M189" s="11">
        <f t="shared" si="24"/>
        <v>1490.274210526316</v>
      </c>
      <c r="N189">
        <v>1</v>
      </c>
      <c r="O189" s="7">
        <v>314.87</v>
      </c>
      <c r="P189" s="11">
        <f t="shared" si="25"/>
        <v>340.09052631578948</v>
      </c>
      <c r="Q189">
        <v>2</v>
      </c>
      <c r="R189" s="15">
        <v>12.31</v>
      </c>
      <c r="S189" s="11">
        <f t="shared" si="26"/>
        <v>102.51894736842105</v>
      </c>
      <c r="T189" s="8">
        <v>1</v>
      </c>
      <c r="U189" s="8">
        <f t="shared" si="31"/>
        <v>162.70000000000002</v>
      </c>
      <c r="V189" s="11">
        <f t="shared" si="27"/>
        <v>179.35777777777776</v>
      </c>
      <c r="W189" s="11">
        <f t="shared" si="29"/>
        <v>169.10083333333333</v>
      </c>
    </row>
    <row r="190" spans="1:23" x14ac:dyDescent="0.3">
      <c r="A190" s="8">
        <f t="shared" si="28"/>
        <v>7</v>
      </c>
      <c r="B190" s="4">
        <v>42552</v>
      </c>
      <c r="C190" s="7">
        <v>92.73</v>
      </c>
      <c r="D190" s="11">
        <f t="shared" si="22"/>
        <v>111.3</v>
      </c>
      <c r="E190">
        <v>2</v>
      </c>
      <c r="F190" s="7">
        <v>18.89</v>
      </c>
      <c r="G190" s="11">
        <f t="shared" si="30"/>
        <v>43.05</v>
      </c>
      <c r="H190">
        <v>2</v>
      </c>
      <c r="I190" s="7">
        <v>117.8</v>
      </c>
      <c r="J190" s="11">
        <f t="shared" si="23"/>
        <v>111.83722222222222</v>
      </c>
      <c r="K190">
        <v>1</v>
      </c>
      <c r="L190" s="7">
        <v>541.77</v>
      </c>
      <c r="M190" s="11">
        <f t="shared" si="24"/>
        <v>693.74263157894745</v>
      </c>
      <c r="N190">
        <v>1</v>
      </c>
      <c r="O190" s="7">
        <v>240.35</v>
      </c>
      <c r="P190" s="11">
        <f t="shared" si="25"/>
        <v>256.32526315789482</v>
      </c>
      <c r="Q190">
        <v>2</v>
      </c>
      <c r="R190" s="15">
        <v>7.48</v>
      </c>
      <c r="S190" s="11">
        <f t="shared" si="26"/>
        <v>63.705789473684213</v>
      </c>
      <c r="T190" s="8">
        <v>1</v>
      </c>
      <c r="U190" s="8">
        <f t="shared" si="31"/>
        <v>122.55</v>
      </c>
      <c r="V190" s="11">
        <f t="shared" si="27"/>
        <v>141.94888888888892</v>
      </c>
      <c r="W190" s="11">
        <f t="shared" si="29"/>
        <v>168.91750000000002</v>
      </c>
    </row>
    <row r="191" spans="1:23" x14ac:dyDescent="0.3">
      <c r="A191" s="8">
        <f t="shared" si="28"/>
        <v>8</v>
      </c>
      <c r="B191" s="4">
        <v>42583</v>
      </c>
      <c r="C191" s="7">
        <v>97.24</v>
      </c>
      <c r="D191" s="11">
        <f t="shared" si="22"/>
        <v>92.337894736842102</v>
      </c>
      <c r="E191">
        <v>2</v>
      </c>
      <c r="F191" s="7">
        <v>18.78</v>
      </c>
      <c r="G191" s="11">
        <f t="shared" si="30"/>
        <v>45.191428571428567</v>
      </c>
      <c r="H191">
        <v>2</v>
      </c>
      <c r="I191" s="7">
        <v>96.03</v>
      </c>
      <c r="J191" s="11">
        <f t="shared" si="23"/>
        <v>89.390555555555537</v>
      </c>
      <c r="K191">
        <v>1</v>
      </c>
      <c r="L191" s="7">
        <v>355.77</v>
      </c>
      <c r="M191" s="11">
        <f t="shared" si="24"/>
        <v>417.0510526315789</v>
      </c>
      <c r="N191">
        <v>1</v>
      </c>
      <c r="O191" s="7">
        <v>207.48</v>
      </c>
      <c r="P191" s="11">
        <f t="shared" si="25"/>
        <v>208.76473684210529</v>
      </c>
      <c r="Q191">
        <v>2</v>
      </c>
      <c r="R191" s="15">
        <v>12.1</v>
      </c>
      <c r="S191" s="11">
        <f t="shared" si="26"/>
        <v>39.715789473684218</v>
      </c>
      <c r="T191" s="8">
        <v>1</v>
      </c>
      <c r="U191" s="8">
        <f t="shared" si="31"/>
        <v>111.44999999999999</v>
      </c>
      <c r="V191" s="11">
        <f t="shared" si="27"/>
        <v>118.48611111111111</v>
      </c>
      <c r="W191" s="11">
        <f t="shared" si="29"/>
        <v>170.73166666666668</v>
      </c>
    </row>
    <row r="192" spans="1:23" x14ac:dyDescent="0.3">
      <c r="A192" s="8">
        <f t="shared" si="28"/>
        <v>9</v>
      </c>
      <c r="B192" s="4">
        <v>42614</v>
      </c>
      <c r="C192" s="7">
        <v>66.69</v>
      </c>
      <c r="D192" s="11">
        <f t="shared" si="22"/>
        <v>72.209473684210522</v>
      </c>
      <c r="E192">
        <v>2</v>
      </c>
      <c r="F192" s="7">
        <v>17.95</v>
      </c>
      <c r="G192" s="11">
        <f t="shared" si="30"/>
        <v>44.037692307692296</v>
      </c>
      <c r="H192">
        <v>2</v>
      </c>
      <c r="I192" s="7">
        <v>71.28</v>
      </c>
      <c r="J192" s="11">
        <f t="shared" si="23"/>
        <v>64.317222222222213</v>
      </c>
      <c r="K192">
        <v>104</v>
      </c>
      <c r="L192" s="7">
        <v>268.64</v>
      </c>
      <c r="M192" s="11">
        <f t="shared" si="24"/>
        <v>300.97526315789474</v>
      </c>
      <c r="N192">
        <v>1</v>
      </c>
      <c r="O192" s="7">
        <v>175.75</v>
      </c>
      <c r="P192" s="11">
        <f t="shared" si="25"/>
        <v>173.37368421052631</v>
      </c>
      <c r="Q192">
        <v>2</v>
      </c>
      <c r="R192" s="15">
        <v>13.1</v>
      </c>
      <c r="S192" s="11">
        <f t="shared" si="26"/>
        <v>68.976315789473688</v>
      </c>
      <c r="T192" s="8">
        <v>1</v>
      </c>
      <c r="U192" s="8">
        <f t="shared" si="31"/>
        <v>104.47</v>
      </c>
      <c r="V192" s="11">
        <f t="shared" si="27"/>
        <v>108.505</v>
      </c>
      <c r="W192" s="11">
        <f t="shared" si="29"/>
        <v>172.71583333333334</v>
      </c>
    </row>
    <row r="193" spans="1:23" x14ac:dyDescent="0.3">
      <c r="A193" s="8">
        <f t="shared" si="28"/>
        <v>10</v>
      </c>
      <c r="B193" s="4">
        <v>42644</v>
      </c>
      <c r="C193" s="7">
        <v>61.24</v>
      </c>
      <c r="D193" s="11">
        <f t="shared" si="22"/>
        <v>53.688421052631583</v>
      </c>
      <c r="E193">
        <v>2</v>
      </c>
      <c r="F193" s="7">
        <v>16.18</v>
      </c>
      <c r="G193" s="11">
        <f t="shared" si="30"/>
        <v>38.246428571428574</v>
      </c>
      <c r="H193">
        <v>2</v>
      </c>
      <c r="I193" s="7">
        <v>44.44</v>
      </c>
      <c r="J193" s="11">
        <f t="shared" si="23"/>
        <v>43.578947368421062</v>
      </c>
      <c r="K193">
        <v>104</v>
      </c>
      <c r="L193" s="7">
        <v>217.33</v>
      </c>
      <c r="M193" s="11">
        <f t="shared" si="24"/>
        <v>237.62421052631578</v>
      </c>
      <c r="N193">
        <v>1</v>
      </c>
      <c r="O193" s="7">
        <v>160.72</v>
      </c>
      <c r="P193" s="11">
        <f t="shared" si="25"/>
        <v>143.08473684210523</v>
      </c>
      <c r="Q193">
        <v>2</v>
      </c>
      <c r="R193" s="15">
        <v>7.6</v>
      </c>
      <c r="S193" s="11">
        <f t="shared" si="26"/>
        <v>56.208947368421043</v>
      </c>
      <c r="T193" s="8">
        <v>1</v>
      </c>
      <c r="U193" s="8">
        <f t="shared" si="31"/>
        <v>116.28</v>
      </c>
      <c r="V193" s="11">
        <f t="shared" si="27"/>
        <v>99.505789473684189</v>
      </c>
      <c r="W193" s="11">
        <f t="shared" si="29"/>
        <v>174.23666666666665</v>
      </c>
    </row>
    <row r="194" spans="1:23" x14ac:dyDescent="0.3">
      <c r="A194" s="8">
        <f t="shared" si="28"/>
        <v>11</v>
      </c>
      <c r="B194" s="4">
        <v>42675</v>
      </c>
      <c r="C194" s="7">
        <v>81.790000000000006</v>
      </c>
      <c r="D194" s="11">
        <f t="shared" si="22"/>
        <v>65.729473684210518</v>
      </c>
      <c r="E194">
        <v>2</v>
      </c>
      <c r="F194" s="7">
        <v>15.09</v>
      </c>
      <c r="G194" s="11">
        <f t="shared" si="30"/>
        <v>31.170666666666669</v>
      </c>
      <c r="H194">
        <v>2</v>
      </c>
      <c r="I194" s="7">
        <v>38.19</v>
      </c>
      <c r="J194" s="11">
        <f t="shared" si="23"/>
        <v>42.795263157894738</v>
      </c>
      <c r="K194">
        <v>104</v>
      </c>
      <c r="L194" s="7">
        <v>205.12</v>
      </c>
      <c r="M194" s="11">
        <f t="shared" si="24"/>
        <v>234.77473684210523</v>
      </c>
      <c r="N194">
        <v>2</v>
      </c>
      <c r="O194" s="7">
        <v>167.68</v>
      </c>
      <c r="P194" s="11">
        <f t="shared" si="25"/>
        <v>138.83421052631579</v>
      </c>
      <c r="Q194">
        <v>77</v>
      </c>
      <c r="R194" s="15">
        <v>2.23</v>
      </c>
      <c r="S194" s="11">
        <f t="shared" si="26"/>
        <v>58.608421052631591</v>
      </c>
      <c r="T194" s="8">
        <v>1</v>
      </c>
      <c r="U194" s="8">
        <f t="shared" si="31"/>
        <v>129.49</v>
      </c>
      <c r="V194" s="11">
        <f t="shared" si="27"/>
        <v>96.038947368421077</v>
      </c>
      <c r="W194" s="11">
        <f t="shared" si="29"/>
        <v>173.84083333333334</v>
      </c>
    </row>
    <row r="195" spans="1:23" x14ac:dyDescent="0.3">
      <c r="A195" s="8">
        <f t="shared" si="28"/>
        <v>12</v>
      </c>
      <c r="B195" s="4">
        <v>42705</v>
      </c>
      <c r="C195" s="7">
        <v>182.84</v>
      </c>
      <c r="D195" s="11">
        <f t="shared" si="22"/>
        <v>164.87789473684211</v>
      </c>
      <c r="E195">
        <v>2</v>
      </c>
      <c r="F195" s="7">
        <v>17.82</v>
      </c>
      <c r="G195" s="11">
        <f t="shared" si="30"/>
        <v>29.229375000000001</v>
      </c>
      <c r="H195">
        <v>2</v>
      </c>
      <c r="I195" s="7">
        <v>128.26</v>
      </c>
      <c r="J195" s="11">
        <f t="shared" si="23"/>
        <v>123.60999999999999</v>
      </c>
      <c r="K195">
        <v>2</v>
      </c>
      <c r="L195" s="7">
        <v>291.14999999999998</v>
      </c>
      <c r="M195" s="11">
        <f t="shared" si="24"/>
        <v>340.84421052631575</v>
      </c>
      <c r="N195">
        <v>1</v>
      </c>
      <c r="O195" s="7">
        <v>310.14999999999998</v>
      </c>
      <c r="P195" s="11">
        <f t="shared" si="25"/>
        <v>216.46631578947367</v>
      </c>
      <c r="Q195">
        <v>77</v>
      </c>
      <c r="R195" s="15">
        <v>2.61</v>
      </c>
      <c r="S195" s="11">
        <f t="shared" si="26"/>
        <v>129.68894736842105</v>
      </c>
      <c r="T195" s="8">
        <v>1</v>
      </c>
      <c r="U195" s="8">
        <f t="shared" si="31"/>
        <v>181.89</v>
      </c>
      <c r="V195" s="11">
        <f t="shared" si="27"/>
        <v>92.856315789473669</v>
      </c>
      <c r="W195" s="11">
        <f t="shared" si="29"/>
        <v>172.63833333333332</v>
      </c>
    </row>
    <row r="196" spans="1:23" x14ac:dyDescent="0.3">
      <c r="A196" s="8">
        <f t="shared" si="28"/>
        <v>1</v>
      </c>
      <c r="B196" s="4">
        <v>42736</v>
      </c>
      <c r="C196" s="7">
        <v>286.48</v>
      </c>
      <c r="D196" s="11">
        <f t="shared" ref="D196:D236" si="32">AVERAGEIF($A$4:$A$236,$A196,C$4:C$236)</f>
        <v>262.35600000000005</v>
      </c>
      <c r="E196">
        <v>2</v>
      </c>
      <c r="F196" s="7">
        <v>22.38</v>
      </c>
      <c r="G196" s="11">
        <f t="shared" si="30"/>
        <v>30.8</v>
      </c>
      <c r="H196">
        <v>2</v>
      </c>
      <c r="I196" s="7">
        <v>251.15</v>
      </c>
      <c r="J196" s="11">
        <f t="shared" ref="J196:J236" si="33">AVERAGEIF($A$4:$A$236,$A196,I$4:I$236)</f>
        <v>241.63399999999996</v>
      </c>
      <c r="K196">
        <v>2</v>
      </c>
      <c r="L196" s="7">
        <v>563.69000000000005</v>
      </c>
      <c r="M196" s="11">
        <f t="shared" ref="M196:M236" si="34">AVERAGEIF($A$4:$A$236,$A196,L$4:L$236)</f>
        <v>671.20894736842092</v>
      </c>
      <c r="N196">
        <v>1</v>
      </c>
      <c r="O196" s="7">
        <v>479.1</v>
      </c>
      <c r="P196" s="11">
        <f t="shared" ref="P196:P236" si="35">AVERAGEIF($A$4:$A$236,$A196,O$4:O$236)</f>
        <v>362.94894736842105</v>
      </c>
      <c r="Q196">
        <v>77</v>
      </c>
      <c r="R196" s="15">
        <v>22.84</v>
      </c>
      <c r="S196" s="11">
        <f t="shared" ref="S196:S234" si="36">AVERAGEIF($A$4:$A$236,$A196,R$4:R$236)</f>
        <v>90.957368421052621</v>
      </c>
      <c r="T196" s="8">
        <v>1</v>
      </c>
      <c r="U196" s="8">
        <f t="shared" si="31"/>
        <v>227.95000000000002</v>
      </c>
      <c r="V196" s="11">
        <f t="shared" ref="V196:V236" si="37">AVERAGEIF($A$4:$A$236,$A196,U$4:U$236)</f>
        <v>126.33499999999998</v>
      </c>
      <c r="W196" s="11">
        <f t="shared" si="29"/>
        <v>168.48666666666665</v>
      </c>
    </row>
    <row r="197" spans="1:23" x14ac:dyDescent="0.3">
      <c r="A197" s="8">
        <f t="shared" ref="A197:A236" si="38">MONTH(B197)</f>
        <v>2</v>
      </c>
      <c r="B197" s="4">
        <v>42767</v>
      </c>
      <c r="C197" s="7">
        <v>225.61</v>
      </c>
      <c r="D197" s="11">
        <f t="shared" si="32"/>
        <v>328.9663157894737</v>
      </c>
      <c r="E197">
        <v>2</v>
      </c>
      <c r="F197" s="7">
        <v>25.83</v>
      </c>
      <c r="G197" s="11">
        <f t="shared" si="30"/>
        <v>33.1875</v>
      </c>
      <c r="H197">
        <v>2</v>
      </c>
      <c r="I197" s="7">
        <v>218.36</v>
      </c>
      <c r="J197" s="11">
        <f t="shared" si="33"/>
        <v>334.30099999999993</v>
      </c>
      <c r="K197">
        <v>2</v>
      </c>
      <c r="L197" s="7">
        <v>1017.37</v>
      </c>
      <c r="M197" s="11">
        <f t="shared" si="34"/>
        <v>1650.3500000000001</v>
      </c>
      <c r="N197">
        <v>1</v>
      </c>
      <c r="O197" s="7">
        <v>433.31</v>
      </c>
      <c r="P197" s="11">
        <f t="shared" si="35"/>
        <v>463.72789473684207</v>
      </c>
      <c r="Q197">
        <v>77</v>
      </c>
      <c r="R197" s="15">
        <v>20.53</v>
      </c>
      <c r="S197" s="11">
        <f t="shared" si="36"/>
        <v>109.05882352941175</v>
      </c>
      <c r="T197" s="8">
        <v>1</v>
      </c>
      <c r="U197" s="8">
        <f t="shared" si="31"/>
        <v>214.95</v>
      </c>
      <c r="V197" s="11">
        <f t="shared" si="37"/>
        <v>134.9257894736842</v>
      </c>
      <c r="W197" s="11">
        <f t="shared" ref="W197:W231" si="39">AVERAGE(U197:U208)</f>
        <v>163.61249999999998</v>
      </c>
    </row>
    <row r="198" spans="1:23" x14ac:dyDescent="0.3">
      <c r="A198" s="8">
        <f t="shared" si="38"/>
        <v>3</v>
      </c>
      <c r="B198" s="4">
        <v>42795</v>
      </c>
      <c r="C198" s="7">
        <v>375.58</v>
      </c>
      <c r="D198" s="11">
        <f t="shared" si="32"/>
        <v>469.14</v>
      </c>
      <c r="E198">
        <v>2</v>
      </c>
      <c r="F198" s="7">
        <v>30.53</v>
      </c>
      <c r="G198" s="11">
        <f t="shared" si="30"/>
        <v>37.004666666666672</v>
      </c>
      <c r="H198">
        <v>2</v>
      </c>
      <c r="I198" s="7">
        <v>276.64999999999998</v>
      </c>
      <c r="J198" s="11">
        <f t="shared" si="33"/>
        <v>431.04200000000003</v>
      </c>
      <c r="K198">
        <v>2</v>
      </c>
      <c r="L198" s="7">
        <v>2667.57</v>
      </c>
      <c r="M198" s="11">
        <f t="shared" si="34"/>
        <v>3124.677368421053</v>
      </c>
      <c r="N198">
        <v>1</v>
      </c>
      <c r="O198" s="7">
        <v>509.37</v>
      </c>
      <c r="P198" s="11">
        <f t="shared" si="35"/>
        <v>565.95157894736838</v>
      </c>
      <c r="Q198">
        <v>77</v>
      </c>
      <c r="R198" s="15">
        <v>234.29</v>
      </c>
      <c r="S198" s="11">
        <f t="shared" si="36"/>
        <v>223.16157894736844</v>
      </c>
      <c r="T198" s="8">
        <v>1</v>
      </c>
      <c r="U198" s="8">
        <f t="shared" si="31"/>
        <v>232.72000000000003</v>
      </c>
      <c r="V198" s="11">
        <f t="shared" si="37"/>
        <v>138.05736842105264</v>
      </c>
      <c r="W198" s="11">
        <f t="shared" si="39"/>
        <v>164.68416666666664</v>
      </c>
    </row>
    <row r="199" spans="1:23" x14ac:dyDescent="0.3">
      <c r="A199" s="8">
        <f t="shared" si="38"/>
        <v>4</v>
      </c>
      <c r="B199" s="4">
        <v>42826</v>
      </c>
      <c r="C199" s="7">
        <v>272.85000000000002</v>
      </c>
      <c r="D199" s="11">
        <f t="shared" si="32"/>
        <v>589.29650000000015</v>
      </c>
      <c r="E199">
        <v>2</v>
      </c>
      <c r="F199" s="7">
        <v>29</v>
      </c>
      <c r="G199" s="11">
        <f t="shared" si="30"/>
        <v>37.96</v>
      </c>
      <c r="H199">
        <v>2</v>
      </c>
      <c r="I199" s="7">
        <v>260.08</v>
      </c>
      <c r="J199" s="11">
        <f t="shared" si="33"/>
        <v>483.73894736842101</v>
      </c>
      <c r="K199">
        <v>2</v>
      </c>
      <c r="L199" s="7">
        <v>4150.6899999999996</v>
      </c>
      <c r="M199" s="11">
        <f t="shared" si="34"/>
        <v>3744.6268421052641</v>
      </c>
      <c r="N199">
        <v>1</v>
      </c>
      <c r="O199" s="7">
        <v>490.94</v>
      </c>
      <c r="P199" s="11">
        <f t="shared" si="35"/>
        <v>682.00947368421055</v>
      </c>
      <c r="Q199">
        <v>77</v>
      </c>
      <c r="R199" s="15">
        <v>23</v>
      </c>
      <c r="S199" s="11">
        <f t="shared" si="36"/>
        <v>222.48684210526312</v>
      </c>
      <c r="T199" s="8">
        <v>1</v>
      </c>
      <c r="U199" s="8">
        <f t="shared" si="31"/>
        <v>230.86</v>
      </c>
      <c r="V199" s="11">
        <f t="shared" si="37"/>
        <v>198.27052631578945</v>
      </c>
      <c r="W199" s="11">
        <f t="shared" si="39"/>
        <v>165.09916666666666</v>
      </c>
    </row>
    <row r="200" spans="1:23" x14ac:dyDescent="0.3">
      <c r="A200" s="8">
        <f t="shared" si="38"/>
        <v>5</v>
      </c>
      <c r="B200" s="4">
        <v>42856</v>
      </c>
      <c r="C200" s="7">
        <v>141.41999999999999</v>
      </c>
      <c r="D200" s="11">
        <f t="shared" si="32"/>
        <v>310.70526315789482</v>
      </c>
      <c r="E200">
        <v>2</v>
      </c>
      <c r="F200" s="7">
        <v>29.12</v>
      </c>
      <c r="G200" s="11">
        <f t="shared" si="30"/>
        <v>38.770000000000003</v>
      </c>
      <c r="H200">
        <v>2</v>
      </c>
      <c r="I200" s="7">
        <v>158.97</v>
      </c>
      <c r="J200" s="11">
        <f t="shared" si="33"/>
        <v>306.97578947368419</v>
      </c>
      <c r="K200">
        <v>2</v>
      </c>
      <c r="L200" s="7">
        <v>2290.19</v>
      </c>
      <c r="M200" s="11">
        <f t="shared" si="34"/>
        <v>2961.8094736842104</v>
      </c>
      <c r="N200">
        <v>1</v>
      </c>
      <c r="O200" s="7">
        <v>352.87</v>
      </c>
      <c r="P200" s="11">
        <f t="shared" si="35"/>
        <v>530.60473684210535</v>
      </c>
      <c r="Q200">
        <v>77</v>
      </c>
      <c r="R200" s="15">
        <v>17.64</v>
      </c>
      <c r="S200" s="11">
        <f t="shared" si="36"/>
        <v>164.41473684210524</v>
      </c>
      <c r="T200" s="8">
        <v>1</v>
      </c>
      <c r="U200" s="8">
        <f t="shared" si="31"/>
        <v>193.9</v>
      </c>
      <c r="V200" s="11">
        <f t="shared" si="37"/>
        <v>223.628947368421</v>
      </c>
      <c r="W200" s="11">
        <f t="shared" si="39"/>
        <v>168.90416666666667</v>
      </c>
    </row>
    <row r="201" spans="1:23" x14ac:dyDescent="0.3">
      <c r="A201" s="8">
        <f t="shared" si="38"/>
        <v>6</v>
      </c>
      <c r="B201" s="4">
        <v>42887</v>
      </c>
      <c r="C201" s="7">
        <v>89.33</v>
      </c>
      <c r="D201" s="11">
        <f t="shared" si="32"/>
        <v>145.28526315789475</v>
      </c>
      <c r="E201">
        <v>2</v>
      </c>
      <c r="F201" s="7">
        <v>27.73</v>
      </c>
      <c r="G201" s="11">
        <f t="shared" si="30"/>
        <v>40.809285714285714</v>
      </c>
      <c r="H201">
        <v>2</v>
      </c>
      <c r="I201" s="7">
        <v>89.76</v>
      </c>
      <c r="J201" s="11">
        <f t="shared" si="33"/>
        <v>158.42111111111114</v>
      </c>
      <c r="K201">
        <v>1</v>
      </c>
      <c r="L201" s="7">
        <v>1148.1500000000001</v>
      </c>
      <c r="M201" s="11">
        <f t="shared" si="34"/>
        <v>1490.274210526316</v>
      </c>
      <c r="N201">
        <v>1</v>
      </c>
      <c r="O201" s="7">
        <v>250.26</v>
      </c>
      <c r="P201" s="11">
        <f t="shared" si="35"/>
        <v>340.09052631578948</v>
      </c>
      <c r="Q201">
        <v>77</v>
      </c>
      <c r="R201" s="15">
        <v>12.18</v>
      </c>
      <c r="S201" s="11">
        <f t="shared" si="36"/>
        <v>102.51894736842105</v>
      </c>
      <c r="T201" s="8">
        <v>1</v>
      </c>
      <c r="U201" s="8">
        <f t="shared" si="31"/>
        <v>160.5</v>
      </c>
      <c r="V201" s="11">
        <f t="shared" si="37"/>
        <v>179.35777777777776</v>
      </c>
      <c r="W201" s="11">
        <f t="shared" si="39"/>
        <v>174.99750000000003</v>
      </c>
    </row>
    <row r="202" spans="1:23" x14ac:dyDescent="0.3">
      <c r="A202" s="8">
        <f t="shared" si="38"/>
        <v>7</v>
      </c>
      <c r="B202" s="4">
        <v>42917</v>
      </c>
      <c r="C202" s="7">
        <v>75.77</v>
      </c>
      <c r="D202" s="11">
        <f t="shared" si="32"/>
        <v>111.3</v>
      </c>
      <c r="E202">
        <v>2</v>
      </c>
      <c r="F202" s="7">
        <v>31.36</v>
      </c>
      <c r="G202" s="11">
        <f t="shared" si="30"/>
        <v>43.05</v>
      </c>
      <c r="H202">
        <v>2</v>
      </c>
      <c r="I202" s="7">
        <v>62.19</v>
      </c>
      <c r="J202" s="11">
        <f t="shared" si="33"/>
        <v>111.83722222222222</v>
      </c>
      <c r="K202">
        <v>26</v>
      </c>
      <c r="L202" s="7">
        <v>521</v>
      </c>
      <c r="M202" s="11">
        <f t="shared" si="34"/>
        <v>693.74263157894745</v>
      </c>
      <c r="N202">
        <v>1</v>
      </c>
      <c r="O202" s="7">
        <v>206.51</v>
      </c>
      <c r="P202" s="11">
        <f t="shared" si="35"/>
        <v>256.32526315789482</v>
      </c>
      <c r="Q202">
        <v>77</v>
      </c>
      <c r="R202" s="15">
        <v>11.52</v>
      </c>
      <c r="S202" s="11">
        <f t="shared" si="36"/>
        <v>63.705789473684213</v>
      </c>
      <c r="T202" s="8">
        <v>1</v>
      </c>
      <c r="U202" s="8">
        <f t="shared" si="31"/>
        <v>144.32</v>
      </c>
      <c r="V202" s="11">
        <f t="shared" si="37"/>
        <v>141.94888888888892</v>
      </c>
      <c r="W202" s="11">
        <f t="shared" si="39"/>
        <v>177.80416666666667</v>
      </c>
    </row>
    <row r="203" spans="1:23" x14ac:dyDescent="0.3">
      <c r="A203" s="8">
        <f t="shared" si="38"/>
        <v>8</v>
      </c>
      <c r="B203" s="4">
        <v>42948</v>
      </c>
      <c r="C203" s="7">
        <v>33.82</v>
      </c>
      <c r="D203" s="11">
        <f t="shared" si="32"/>
        <v>92.337894736842102</v>
      </c>
      <c r="E203">
        <v>1</v>
      </c>
      <c r="F203" s="7">
        <v>35.380000000000003</v>
      </c>
      <c r="G203" s="11">
        <f t="shared" si="30"/>
        <v>45.191428571428567</v>
      </c>
      <c r="H203">
        <v>2</v>
      </c>
      <c r="I203" s="7">
        <v>49.18</v>
      </c>
      <c r="J203" s="11">
        <f t="shared" si="33"/>
        <v>89.390555555555537</v>
      </c>
      <c r="K203">
        <v>26</v>
      </c>
      <c r="L203" s="7">
        <v>338.79</v>
      </c>
      <c r="M203" s="11">
        <f t="shared" si="34"/>
        <v>417.0510526315789</v>
      </c>
      <c r="N203">
        <v>1</v>
      </c>
      <c r="O203" s="7">
        <v>184.44</v>
      </c>
      <c r="P203" s="11">
        <f t="shared" si="35"/>
        <v>208.76473684210529</v>
      </c>
      <c r="Q203">
        <v>77</v>
      </c>
      <c r="R203" s="15">
        <v>15.42</v>
      </c>
      <c r="S203" s="11">
        <f t="shared" si="36"/>
        <v>39.715789473684218</v>
      </c>
      <c r="T203" s="8">
        <v>1</v>
      </c>
      <c r="U203" s="8">
        <f t="shared" si="31"/>
        <v>135.26</v>
      </c>
      <c r="V203" s="11">
        <f t="shared" si="37"/>
        <v>118.48611111111111</v>
      </c>
      <c r="W203" s="11">
        <f t="shared" si="39"/>
        <v>174.48416666666665</v>
      </c>
    </row>
    <row r="204" spans="1:23" x14ac:dyDescent="0.3">
      <c r="A204" s="8">
        <f t="shared" si="38"/>
        <v>9</v>
      </c>
      <c r="B204" s="4">
        <v>42979</v>
      </c>
      <c r="C204" s="7">
        <v>15.32</v>
      </c>
      <c r="D204" s="11">
        <f t="shared" si="32"/>
        <v>72.209473684210522</v>
      </c>
      <c r="E204">
        <v>1</v>
      </c>
      <c r="F204" s="7">
        <v>33.21</v>
      </c>
      <c r="G204" s="11">
        <f t="shared" si="30"/>
        <v>44.037692307692296</v>
      </c>
      <c r="H204">
        <v>2</v>
      </c>
      <c r="I204" s="7">
        <v>33.86</v>
      </c>
      <c r="J204" s="11">
        <f t="shared" si="33"/>
        <v>64.317222222222213</v>
      </c>
      <c r="K204">
        <v>26</v>
      </c>
      <c r="L204" s="7">
        <v>241.03</v>
      </c>
      <c r="M204" s="11">
        <f t="shared" si="34"/>
        <v>300.97526315789474</v>
      </c>
      <c r="N204">
        <v>1</v>
      </c>
      <c r="O204" s="7">
        <v>156.58000000000001</v>
      </c>
      <c r="P204" s="11">
        <f t="shared" si="35"/>
        <v>173.37368421052631</v>
      </c>
      <c r="Q204">
        <v>77</v>
      </c>
      <c r="R204" s="15">
        <v>13.76</v>
      </c>
      <c r="S204" s="11">
        <f t="shared" si="36"/>
        <v>68.976315789473688</v>
      </c>
      <c r="T204" s="8">
        <v>1</v>
      </c>
      <c r="U204" s="8">
        <f t="shared" si="31"/>
        <v>122.72000000000001</v>
      </c>
      <c r="V204" s="11">
        <f t="shared" si="37"/>
        <v>108.505</v>
      </c>
      <c r="W204" s="11">
        <f t="shared" si="39"/>
        <v>169.19749999999999</v>
      </c>
    </row>
    <row r="205" spans="1:23" x14ac:dyDescent="0.3">
      <c r="A205" s="8">
        <f t="shared" si="38"/>
        <v>10</v>
      </c>
      <c r="B205" s="4">
        <v>43009</v>
      </c>
      <c r="C205" s="7">
        <v>10.19</v>
      </c>
      <c r="D205" s="11">
        <f t="shared" si="32"/>
        <v>53.688421052631583</v>
      </c>
      <c r="E205">
        <v>1</v>
      </c>
      <c r="F205" s="7">
        <v>28.62</v>
      </c>
      <c r="G205" s="11">
        <f t="shared" si="30"/>
        <v>38.246428571428574</v>
      </c>
      <c r="H205">
        <v>2</v>
      </c>
      <c r="I205" s="7">
        <v>22.09</v>
      </c>
      <c r="J205" s="11">
        <f t="shared" si="33"/>
        <v>43.578947368421062</v>
      </c>
      <c r="K205">
        <v>26</v>
      </c>
      <c r="L205" s="7">
        <v>202.75</v>
      </c>
      <c r="M205" s="11">
        <f t="shared" si="34"/>
        <v>237.62421052631578</v>
      </c>
      <c r="N205">
        <v>1</v>
      </c>
      <c r="O205" s="7">
        <v>133.62</v>
      </c>
      <c r="P205" s="11">
        <f t="shared" si="35"/>
        <v>143.08473684210523</v>
      </c>
      <c r="Q205">
        <v>77</v>
      </c>
      <c r="R205" s="15">
        <v>19.02</v>
      </c>
      <c r="S205" s="11">
        <f t="shared" si="36"/>
        <v>56.208947368421043</v>
      </c>
      <c r="T205" s="8">
        <v>1</v>
      </c>
      <c r="U205" s="8">
        <f t="shared" si="31"/>
        <v>111.53</v>
      </c>
      <c r="V205" s="11">
        <f t="shared" si="37"/>
        <v>99.505789473684189</v>
      </c>
      <c r="W205" s="11">
        <f t="shared" si="39"/>
        <v>164.66249999999999</v>
      </c>
    </row>
    <row r="206" spans="1:23" x14ac:dyDescent="0.3">
      <c r="A206" s="8">
        <f t="shared" si="38"/>
        <v>11</v>
      </c>
      <c r="B206" s="4">
        <v>43040</v>
      </c>
      <c r="C206" s="7">
        <v>14.91</v>
      </c>
      <c r="D206" s="11">
        <f t="shared" si="32"/>
        <v>65.729473684210518</v>
      </c>
      <c r="E206">
        <v>1</v>
      </c>
      <c r="F206" s="7">
        <v>24.91</v>
      </c>
      <c r="G206" s="11">
        <f t="shared" si="30"/>
        <v>31.170666666666669</v>
      </c>
      <c r="H206">
        <v>1</v>
      </c>
      <c r="I206" s="7">
        <v>26.02</v>
      </c>
      <c r="J206" s="11">
        <f t="shared" si="33"/>
        <v>42.795263157894738</v>
      </c>
      <c r="K206">
        <v>26</v>
      </c>
      <c r="L206" s="7">
        <v>204.8</v>
      </c>
      <c r="M206" s="11">
        <f t="shared" si="34"/>
        <v>234.77473684210523</v>
      </c>
      <c r="N206">
        <v>1</v>
      </c>
      <c r="O206" s="7">
        <v>141.08000000000001</v>
      </c>
      <c r="P206" s="11">
        <f t="shared" si="35"/>
        <v>138.83421052631579</v>
      </c>
      <c r="Q206">
        <v>77</v>
      </c>
      <c r="R206" s="15">
        <v>5.17</v>
      </c>
      <c r="S206" s="11">
        <f t="shared" si="36"/>
        <v>58.608421052631591</v>
      </c>
      <c r="T206" s="8">
        <v>1</v>
      </c>
      <c r="U206" s="8">
        <f t="shared" si="31"/>
        <v>115.06000000000002</v>
      </c>
      <c r="V206" s="11">
        <f t="shared" si="37"/>
        <v>96.038947368421077</v>
      </c>
      <c r="W206" s="11">
        <f t="shared" si="39"/>
        <v>160.8175</v>
      </c>
    </row>
    <row r="207" spans="1:23" x14ac:dyDescent="0.3">
      <c r="A207" s="8">
        <f t="shared" si="38"/>
        <v>12</v>
      </c>
      <c r="B207" s="4">
        <v>43070</v>
      </c>
      <c r="C207" s="7">
        <v>30.01</v>
      </c>
      <c r="D207" s="11">
        <f t="shared" si="32"/>
        <v>164.87789473684211</v>
      </c>
      <c r="E207">
        <v>1</v>
      </c>
      <c r="F207" s="7">
        <v>24.26</v>
      </c>
      <c r="G207" s="11">
        <f t="shared" si="30"/>
        <v>29.229375000000001</v>
      </c>
      <c r="H207">
        <v>2</v>
      </c>
      <c r="I207" s="7">
        <v>46.65</v>
      </c>
      <c r="J207" s="11">
        <f t="shared" si="33"/>
        <v>123.60999999999999</v>
      </c>
      <c r="K207">
        <v>26</v>
      </c>
      <c r="L207" s="7">
        <v>321.48</v>
      </c>
      <c r="M207" s="11">
        <f t="shared" si="34"/>
        <v>340.84421052631575</v>
      </c>
      <c r="N207">
        <v>104</v>
      </c>
      <c r="O207" s="7">
        <v>178.72</v>
      </c>
      <c r="P207" s="11">
        <f t="shared" si="35"/>
        <v>216.46631578947367</v>
      </c>
      <c r="Q207">
        <v>77</v>
      </c>
      <c r="R207" s="15">
        <v>9.57</v>
      </c>
      <c r="S207" s="11">
        <f t="shared" si="36"/>
        <v>129.68894736842105</v>
      </c>
      <c r="T207" s="8">
        <v>1</v>
      </c>
      <c r="U207" s="8">
        <f t="shared" si="31"/>
        <v>132.07</v>
      </c>
      <c r="V207" s="11">
        <f t="shared" si="37"/>
        <v>92.856315789473669</v>
      </c>
      <c r="W207" s="11">
        <f t="shared" si="39"/>
        <v>157.20000000000002</v>
      </c>
    </row>
    <row r="208" spans="1:23" x14ac:dyDescent="0.3">
      <c r="A208" s="8">
        <f t="shared" si="38"/>
        <v>1</v>
      </c>
      <c r="B208" s="4">
        <v>43101</v>
      </c>
      <c r="C208" s="7">
        <v>70.17</v>
      </c>
      <c r="D208" s="11">
        <f t="shared" si="32"/>
        <v>262.35600000000005</v>
      </c>
      <c r="E208">
        <v>1</v>
      </c>
      <c r="F208" s="7">
        <v>23.99</v>
      </c>
      <c r="G208" s="11">
        <f t="shared" si="30"/>
        <v>30.8</v>
      </c>
      <c r="H208">
        <v>2</v>
      </c>
      <c r="I208" s="7">
        <v>108.12</v>
      </c>
      <c r="J208" s="11">
        <f t="shared" si="33"/>
        <v>241.63399999999996</v>
      </c>
      <c r="K208">
        <v>26</v>
      </c>
      <c r="L208" s="7">
        <v>669.88</v>
      </c>
      <c r="M208" s="11">
        <f t="shared" si="34"/>
        <v>671.20894736842092</v>
      </c>
      <c r="N208">
        <v>1</v>
      </c>
      <c r="O208" s="7">
        <v>277.58</v>
      </c>
      <c r="P208" s="11">
        <f t="shared" si="35"/>
        <v>362.94894736842105</v>
      </c>
      <c r="Q208">
        <v>77</v>
      </c>
      <c r="R208" s="15">
        <v>11.24</v>
      </c>
      <c r="S208" s="11">
        <f t="shared" si="36"/>
        <v>90.957368421052621</v>
      </c>
      <c r="T208" s="8">
        <v>1</v>
      </c>
      <c r="U208" s="8">
        <f t="shared" si="31"/>
        <v>169.45999999999998</v>
      </c>
      <c r="V208" s="11">
        <f t="shared" si="37"/>
        <v>126.33499999999998</v>
      </c>
      <c r="W208" s="11">
        <f t="shared" si="39"/>
        <v>152.88666666666666</v>
      </c>
    </row>
    <row r="209" spans="1:23" x14ac:dyDescent="0.3">
      <c r="A209" s="8">
        <f t="shared" si="38"/>
        <v>2</v>
      </c>
      <c r="B209" s="4">
        <v>43132</v>
      </c>
      <c r="C209" s="7">
        <v>289.42</v>
      </c>
      <c r="D209" s="11">
        <f t="shared" si="32"/>
        <v>328.9663157894737</v>
      </c>
      <c r="E209">
        <v>1</v>
      </c>
      <c r="F209" s="7">
        <v>27.88</v>
      </c>
      <c r="G209" s="11">
        <f t="shared" ref="G209:G232" si="40">AVERAGEIF($A$4:$A$236,$A209,F$4:F$236)</f>
        <v>33.1875</v>
      </c>
      <c r="H209">
        <v>2</v>
      </c>
      <c r="I209" s="7">
        <v>273.08</v>
      </c>
      <c r="J209" s="11">
        <f t="shared" si="33"/>
        <v>334.30099999999993</v>
      </c>
      <c r="K209">
        <v>26</v>
      </c>
      <c r="L209" s="7">
        <v>1809.29</v>
      </c>
      <c r="M209" s="11">
        <f t="shared" si="34"/>
        <v>1650.3500000000001</v>
      </c>
      <c r="N209">
        <v>1</v>
      </c>
      <c r="O209" s="7">
        <v>500.89</v>
      </c>
      <c r="P209" s="11">
        <f t="shared" si="35"/>
        <v>463.72789473684207</v>
      </c>
      <c r="Q209">
        <v>77</v>
      </c>
      <c r="R209" s="15">
        <v>10.41</v>
      </c>
      <c r="S209" s="11">
        <f t="shared" si="36"/>
        <v>109.05882352941175</v>
      </c>
      <c r="T209" s="8">
        <v>1</v>
      </c>
      <c r="U209" s="8">
        <f t="shared" si="31"/>
        <v>227.81</v>
      </c>
      <c r="V209" s="11">
        <f t="shared" si="37"/>
        <v>134.9257894736842</v>
      </c>
      <c r="W209" s="11">
        <f t="shared" si="39"/>
        <v>145.68666666666664</v>
      </c>
    </row>
    <row r="210" spans="1:23" x14ac:dyDescent="0.3">
      <c r="A210" s="8">
        <f t="shared" si="38"/>
        <v>3</v>
      </c>
      <c r="B210" s="4">
        <v>43160</v>
      </c>
      <c r="C210" s="7">
        <v>227.24</v>
      </c>
      <c r="D210" s="11">
        <f t="shared" si="32"/>
        <v>469.14</v>
      </c>
      <c r="E210">
        <v>1</v>
      </c>
      <c r="F210" s="7">
        <v>37.5</v>
      </c>
      <c r="G210" s="11">
        <f t="shared" si="40"/>
        <v>37.004666666666672</v>
      </c>
      <c r="H210">
        <v>2</v>
      </c>
      <c r="I210" s="7">
        <v>299.07</v>
      </c>
      <c r="J210" s="11">
        <f t="shared" si="33"/>
        <v>431.04200000000003</v>
      </c>
      <c r="K210">
        <v>26</v>
      </c>
      <c r="L210" s="7">
        <v>3878.89</v>
      </c>
      <c r="M210" s="11">
        <f t="shared" si="34"/>
        <v>3124.677368421053</v>
      </c>
      <c r="N210">
        <v>1</v>
      </c>
      <c r="O210" s="7">
        <v>536.77</v>
      </c>
      <c r="P210" s="11">
        <f t="shared" si="35"/>
        <v>565.95157894736838</v>
      </c>
      <c r="Q210">
        <v>77</v>
      </c>
      <c r="R210" s="15">
        <v>8.84</v>
      </c>
      <c r="S210" s="11">
        <f t="shared" si="36"/>
        <v>223.16157894736844</v>
      </c>
      <c r="T210" s="8">
        <v>2</v>
      </c>
      <c r="U210" s="8">
        <f t="shared" si="31"/>
        <v>237.7</v>
      </c>
      <c r="V210" s="11">
        <f t="shared" si="37"/>
        <v>138.05736842105264</v>
      </c>
      <c r="W210" s="11">
        <f t="shared" si="39"/>
        <v>132.64666666666665</v>
      </c>
    </row>
    <row r="211" spans="1:23" x14ac:dyDescent="0.3">
      <c r="A211" s="8">
        <f t="shared" si="38"/>
        <v>4</v>
      </c>
      <c r="B211" s="4">
        <v>43191</v>
      </c>
      <c r="C211" s="7">
        <v>851.97</v>
      </c>
      <c r="D211" s="11">
        <f t="shared" si="32"/>
        <v>589.29650000000015</v>
      </c>
      <c r="E211">
        <v>1</v>
      </c>
      <c r="F211" s="7">
        <v>68.89</v>
      </c>
      <c r="G211" s="11">
        <f t="shared" si="40"/>
        <v>37.96</v>
      </c>
      <c r="H211">
        <v>2</v>
      </c>
      <c r="I211" s="7">
        <v>465.2</v>
      </c>
      <c r="J211" s="11">
        <f t="shared" si="33"/>
        <v>483.73894736842101</v>
      </c>
      <c r="K211">
        <v>26</v>
      </c>
      <c r="L211" s="7">
        <v>5069.2</v>
      </c>
      <c r="M211" s="11">
        <f t="shared" si="34"/>
        <v>3744.6268421052641</v>
      </c>
      <c r="N211">
        <v>104</v>
      </c>
      <c r="O211" s="7">
        <v>741.72</v>
      </c>
      <c r="P211" s="11">
        <f t="shared" si="35"/>
        <v>682.00947368421055</v>
      </c>
      <c r="Q211">
        <v>77</v>
      </c>
      <c r="R211" s="15">
        <v>138.16999999999999</v>
      </c>
      <c r="S211" s="11">
        <f t="shared" si="36"/>
        <v>222.48684210526312</v>
      </c>
      <c r="T211" s="8">
        <v>2</v>
      </c>
      <c r="U211" s="8">
        <f t="shared" si="31"/>
        <v>276.52000000000004</v>
      </c>
      <c r="V211" s="11">
        <f t="shared" si="37"/>
        <v>198.27052631578945</v>
      </c>
      <c r="W211" s="11">
        <f t="shared" si="39"/>
        <v>120.99416666666666</v>
      </c>
    </row>
    <row r="212" spans="1:23" x14ac:dyDescent="0.3">
      <c r="A212" s="8">
        <f t="shared" si="38"/>
        <v>5</v>
      </c>
      <c r="B212" s="4">
        <v>43221</v>
      </c>
      <c r="C212" s="7">
        <v>351.65</v>
      </c>
      <c r="D212" s="11">
        <f t="shared" si="32"/>
        <v>310.70526315789482</v>
      </c>
      <c r="E212">
        <v>1</v>
      </c>
      <c r="F212" s="7">
        <v>65.41</v>
      </c>
      <c r="G212" s="11">
        <f t="shared" si="40"/>
        <v>38.770000000000003</v>
      </c>
      <c r="H212">
        <v>2</v>
      </c>
      <c r="I212" s="7">
        <v>416.74</v>
      </c>
      <c r="J212" s="11">
        <f t="shared" si="33"/>
        <v>306.97578947368419</v>
      </c>
      <c r="K212">
        <v>26</v>
      </c>
      <c r="L212" s="7">
        <v>5128.51</v>
      </c>
      <c r="M212" s="11">
        <f t="shared" si="34"/>
        <v>2961.8094736842104</v>
      </c>
      <c r="N212">
        <v>1</v>
      </c>
      <c r="O212" s="7">
        <v>683.76</v>
      </c>
      <c r="P212" s="11">
        <f t="shared" si="35"/>
        <v>530.60473684210535</v>
      </c>
      <c r="Q212">
        <v>77</v>
      </c>
      <c r="R212" s="15">
        <v>695.63</v>
      </c>
      <c r="S212" s="11">
        <f t="shared" si="36"/>
        <v>164.41473684210524</v>
      </c>
      <c r="T212" s="8">
        <v>2</v>
      </c>
      <c r="U212" s="8">
        <f t="shared" si="31"/>
        <v>267.02</v>
      </c>
      <c r="V212" s="11">
        <f t="shared" si="37"/>
        <v>223.628947368421</v>
      </c>
      <c r="W212" s="11">
        <f t="shared" si="39"/>
        <v>105.58166666666665</v>
      </c>
    </row>
    <row r="213" spans="1:23" x14ac:dyDescent="0.3">
      <c r="A213" s="8">
        <f t="shared" si="38"/>
        <v>6</v>
      </c>
      <c r="B213" s="4">
        <v>43252</v>
      </c>
      <c r="C213" s="7">
        <v>98.16</v>
      </c>
      <c r="D213" s="11">
        <f t="shared" si="32"/>
        <v>145.28526315789475</v>
      </c>
      <c r="E213">
        <v>1</v>
      </c>
      <c r="F213" s="7">
        <v>45.98</v>
      </c>
      <c r="G213" s="11">
        <f t="shared" si="40"/>
        <v>40.809285714285714</v>
      </c>
      <c r="H213">
        <v>2</v>
      </c>
      <c r="I213" s="7">
        <v>175.2</v>
      </c>
      <c r="J213" s="11">
        <f t="shared" si="33"/>
        <v>158.42111111111114</v>
      </c>
      <c r="K213">
        <v>26</v>
      </c>
      <c r="L213" s="7">
        <v>2329.9499999999998</v>
      </c>
      <c r="M213" s="11">
        <f t="shared" si="34"/>
        <v>1490.274210526316</v>
      </c>
      <c r="N213">
        <v>2</v>
      </c>
      <c r="O213" s="7">
        <v>369.38</v>
      </c>
      <c r="P213" s="11">
        <f t="shared" si="35"/>
        <v>340.09052631578948</v>
      </c>
      <c r="Q213">
        <v>77</v>
      </c>
      <c r="R213" s="15">
        <v>60.26</v>
      </c>
      <c r="S213" s="11">
        <f t="shared" si="36"/>
        <v>102.51894736842105</v>
      </c>
      <c r="T213" s="8">
        <v>2</v>
      </c>
      <c r="U213" s="8">
        <f t="shared" si="31"/>
        <v>194.18</v>
      </c>
      <c r="V213" s="11">
        <f t="shared" si="37"/>
        <v>179.35777777777776</v>
      </c>
      <c r="W213" s="11">
        <f t="shared" si="39"/>
        <v>91.12</v>
      </c>
    </row>
    <row r="214" spans="1:23" x14ac:dyDescent="0.3">
      <c r="A214" s="8">
        <f t="shared" si="38"/>
        <v>7</v>
      </c>
      <c r="B214" s="4">
        <v>43282</v>
      </c>
      <c r="C214" s="7">
        <v>102.11</v>
      </c>
      <c r="D214" s="11">
        <f t="shared" si="32"/>
        <v>111.3</v>
      </c>
      <c r="E214">
        <v>1</v>
      </c>
      <c r="F214" s="7">
        <v>47.04</v>
      </c>
      <c r="G214" s="11">
        <f t="shared" si="40"/>
        <v>43.05</v>
      </c>
      <c r="H214">
        <v>2</v>
      </c>
      <c r="I214" s="7">
        <v>117.06</v>
      </c>
      <c r="J214" s="11">
        <f t="shared" si="33"/>
        <v>111.83722222222222</v>
      </c>
      <c r="K214">
        <v>26</v>
      </c>
      <c r="L214" s="7">
        <v>1042.33</v>
      </c>
      <c r="M214" s="11">
        <f t="shared" si="34"/>
        <v>693.74263157894745</v>
      </c>
      <c r="N214">
        <v>1</v>
      </c>
      <c r="O214" s="7">
        <v>221.54</v>
      </c>
      <c r="P214" s="11">
        <f t="shared" si="35"/>
        <v>256.32526315789482</v>
      </c>
      <c r="Q214">
        <v>2</v>
      </c>
      <c r="R214" s="15">
        <v>42.79</v>
      </c>
      <c r="S214" s="11">
        <f t="shared" si="36"/>
        <v>63.705789473684213</v>
      </c>
      <c r="T214" s="8">
        <v>2</v>
      </c>
      <c r="U214" s="8">
        <f t="shared" si="31"/>
        <v>104.47999999999999</v>
      </c>
      <c r="V214" s="11">
        <f t="shared" si="37"/>
        <v>141.94888888888892</v>
      </c>
      <c r="W214" s="11">
        <f t="shared" si="39"/>
        <v>82.228333333333339</v>
      </c>
    </row>
    <row r="215" spans="1:23" x14ac:dyDescent="0.3">
      <c r="A215" s="8">
        <f t="shared" si="38"/>
        <v>8</v>
      </c>
      <c r="B215" s="4">
        <v>43313</v>
      </c>
      <c r="C215" s="7">
        <v>80.45</v>
      </c>
      <c r="D215" s="11">
        <f t="shared" si="32"/>
        <v>92.337894736842102</v>
      </c>
      <c r="E215">
        <v>1</v>
      </c>
      <c r="F215" s="7">
        <v>70.739999999999995</v>
      </c>
      <c r="G215" s="11">
        <f t="shared" si="40"/>
        <v>45.191428571428567</v>
      </c>
      <c r="H215">
        <v>2</v>
      </c>
      <c r="I215" s="7">
        <v>90.98</v>
      </c>
      <c r="J215" s="11">
        <f t="shared" si="33"/>
        <v>89.390555555555537</v>
      </c>
      <c r="K215">
        <v>26</v>
      </c>
      <c r="L215" s="7">
        <v>531.41</v>
      </c>
      <c r="M215" s="11">
        <f t="shared" si="34"/>
        <v>417.0510526315789</v>
      </c>
      <c r="N215">
        <v>1</v>
      </c>
      <c r="O215" s="7">
        <v>162.80000000000001</v>
      </c>
      <c r="P215" s="11">
        <f t="shared" si="35"/>
        <v>208.76473684210529</v>
      </c>
      <c r="Q215">
        <v>2</v>
      </c>
      <c r="R215" s="15">
        <v>23.77</v>
      </c>
      <c r="S215" s="11">
        <f t="shared" si="36"/>
        <v>39.715789473684218</v>
      </c>
      <c r="T215" s="8">
        <v>2</v>
      </c>
      <c r="U215" s="8">
        <f t="shared" si="31"/>
        <v>71.820000000000007</v>
      </c>
      <c r="V215" s="11">
        <f t="shared" si="37"/>
        <v>118.48611111111111</v>
      </c>
      <c r="W215" s="11">
        <f t="shared" si="39"/>
        <v>80.421666666666667</v>
      </c>
    </row>
    <row r="216" spans="1:23" x14ac:dyDescent="0.3">
      <c r="A216" s="8">
        <f t="shared" si="38"/>
        <v>9</v>
      </c>
      <c r="B216" s="4">
        <v>43344</v>
      </c>
      <c r="C216" s="7">
        <v>71.37</v>
      </c>
      <c r="D216" s="11">
        <f t="shared" si="32"/>
        <v>72.209473684210522</v>
      </c>
      <c r="E216">
        <v>1</v>
      </c>
      <c r="F216" s="7">
        <v>94.24</v>
      </c>
      <c r="G216" s="11">
        <f t="shared" si="40"/>
        <v>44.037692307692296</v>
      </c>
      <c r="H216">
        <v>2</v>
      </c>
      <c r="I216" s="7">
        <v>63.99</v>
      </c>
      <c r="J216" s="11">
        <f t="shared" si="33"/>
        <v>64.317222222222213</v>
      </c>
      <c r="K216">
        <v>2</v>
      </c>
      <c r="L216" s="7">
        <v>356.96</v>
      </c>
      <c r="M216" s="11">
        <f t="shared" si="34"/>
        <v>300.97526315789474</v>
      </c>
      <c r="N216">
        <v>1</v>
      </c>
      <c r="O216" s="7">
        <v>132.29</v>
      </c>
      <c r="P216" s="11">
        <f t="shared" si="35"/>
        <v>173.37368421052631</v>
      </c>
      <c r="Q216">
        <v>2</v>
      </c>
      <c r="R216" s="15">
        <v>26.1</v>
      </c>
      <c r="S216" s="11">
        <f t="shared" si="36"/>
        <v>68.976315789473688</v>
      </c>
      <c r="T216" s="8">
        <v>2</v>
      </c>
      <c r="U216" s="8">
        <f t="shared" si="31"/>
        <v>68.299999999999983</v>
      </c>
      <c r="V216" s="11">
        <f t="shared" si="37"/>
        <v>108.505</v>
      </c>
      <c r="W216" s="11">
        <f t="shared" si="39"/>
        <v>81.590833333333336</v>
      </c>
    </row>
    <row r="217" spans="1:23" x14ac:dyDescent="0.3">
      <c r="A217" s="8">
        <f t="shared" si="38"/>
        <v>10</v>
      </c>
      <c r="B217" s="4">
        <v>43374</v>
      </c>
      <c r="C217" s="7">
        <v>51.62</v>
      </c>
      <c r="D217" s="11">
        <f t="shared" si="32"/>
        <v>53.688421052631583</v>
      </c>
      <c r="E217">
        <v>1</v>
      </c>
      <c r="F217" s="7">
        <v>90.46</v>
      </c>
      <c r="G217" s="11">
        <f t="shared" si="40"/>
        <v>38.246428571428574</v>
      </c>
      <c r="H217">
        <v>2</v>
      </c>
      <c r="I217" s="7">
        <v>42.43</v>
      </c>
      <c r="J217" s="11">
        <f t="shared" si="33"/>
        <v>43.578947368421062</v>
      </c>
      <c r="K217">
        <v>2</v>
      </c>
      <c r="L217" s="7">
        <v>258.39999999999998</v>
      </c>
      <c r="M217" s="11">
        <f t="shared" si="34"/>
        <v>237.62421052631578</v>
      </c>
      <c r="N217">
        <v>1</v>
      </c>
      <c r="O217" s="7">
        <v>107.82</v>
      </c>
      <c r="P217" s="11">
        <f t="shared" si="35"/>
        <v>143.08473684210523</v>
      </c>
      <c r="Q217">
        <v>2</v>
      </c>
      <c r="R217" s="15">
        <v>17.940000000000001</v>
      </c>
      <c r="S217" s="11">
        <f t="shared" si="36"/>
        <v>56.208947368421043</v>
      </c>
      <c r="T217" s="8">
        <v>2</v>
      </c>
      <c r="U217" s="8">
        <f t="shared" si="31"/>
        <v>65.389999999999986</v>
      </c>
      <c r="V217" s="11">
        <f t="shared" si="37"/>
        <v>99.505789473684189</v>
      </c>
      <c r="W217" s="11">
        <f t="shared" si="39"/>
        <v>83.44916666666667</v>
      </c>
    </row>
    <row r="218" spans="1:23" x14ac:dyDescent="0.3">
      <c r="A218" s="8">
        <f t="shared" si="38"/>
        <v>11</v>
      </c>
      <c r="B218" s="4">
        <v>43405</v>
      </c>
      <c r="C218" s="7">
        <v>54</v>
      </c>
      <c r="D218" s="11">
        <f t="shared" si="32"/>
        <v>65.729473684210518</v>
      </c>
      <c r="E218">
        <v>1</v>
      </c>
      <c r="F218" s="7">
        <v>44.47</v>
      </c>
      <c r="G218" s="11">
        <f t="shared" si="40"/>
        <v>31.170666666666669</v>
      </c>
      <c r="H218">
        <v>2</v>
      </c>
      <c r="I218" s="7">
        <v>38.619999999999997</v>
      </c>
      <c r="J218" s="11">
        <f t="shared" si="33"/>
        <v>42.795263157894738</v>
      </c>
      <c r="K218">
        <v>2</v>
      </c>
      <c r="L218" s="7">
        <v>224.88</v>
      </c>
      <c r="M218" s="11">
        <f t="shared" si="34"/>
        <v>234.77473684210523</v>
      </c>
      <c r="N218">
        <v>1</v>
      </c>
      <c r="O218" s="7">
        <v>110.27</v>
      </c>
      <c r="P218" s="11">
        <f t="shared" si="35"/>
        <v>138.83421052631579</v>
      </c>
      <c r="Q218">
        <v>2</v>
      </c>
      <c r="R218" s="15">
        <v>6.26</v>
      </c>
      <c r="S218" s="11">
        <f t="shared" si="36"/>
        <v>58.608421052631591</v>
      </c>
      <c r="T218" s="8">
        <v>1</v>
      </c>
      <c r="U218" s="8">
        <f t="shared" si="31"/>
        <v>71.650000000000006</v>
      </c>
      <c r="V218" s="11">
        <f t="shared" si="37"/>
        <v>96.038947368421077</v>
      </c>
      <c r="W218" s="11">
        <f t="shared" si="39"/>
        <v>85.277500000000003</v>
      </c>
    </row>
    <row r="219" spans="1:23" x14ac:dyDescent="0.3">
      <c r="A219" s="8">
        <f t="shared" si="38"/>
        <v>12</v>
      </c>
      <c r="B219" s="4">
        <v>43435</v>
      </c>
      <c r="C219" s="7">
        <v>58.14</v>
      </c>
      <c r="D219" s="11">
        <f t="shared" si="32"/>
        <v>164.87789473684211</v>
      </c>
      <c r="E219">
        <v>1</v>
      </c>
      <c r="F219" s="7">
        <v>29.27</v>
      </c>
      <c r="G219" s="11">
        <f t="shared" si="40"/>
        <v>29.229375000000001</v>
      </c>
      <c r="H219">
        <v>2</v>
      </c>
      <c r="I219" s="7">
        <v>50.07</v>
      </c>
      <c r="J219" s="11">
        <f t="shared" si="33"/>
        <v>123.60999999999999</v>
      </c>
      <c r="K219">
        <v>2</v>
      </c>
      <c r="L219" s="7">
        <v>251.53</v>
      </c>
      <c r="M219" s="11">
        <f t="shared" si="34"/>
        <v>340.84421052631575</v>
      </c>
      <c r="N219">
        <v>1</v>
      </c>
      <c r="O219" s="7">
        <v>130.38</v>
      </c>
      <c r="P219" s="11">
        <f t="shared" si="35"/>
        <v>216.46631578947367</v>
      </c>
      <c r="Q219">
        <v>2</v>
      </c>
      <c r="R219" s="15">
        <v>11.03</v>
      </c>
      <c r="S219" s="11">
        <f t="shared" si="36"/>
        <v>129.68894736842105</v>
      </c>
      <c r="T219" s="8">
        <v>1</v>
      </c>
      <c r="U219" s="8">
        <f t="shared" si="31"/>
        <v>80.31</v>
      </c>
      <c r="V219" s="11">
        <f t="shared" si="37"/>
        <v>92.856315789473669</v>
      </c>
      <c r="W219" s="11">
        <f t="shared" si="39"/>
        <v>85.782500000000013</v>
      </c>
    </row>
    <row r="220" spans="1:23" x14ac:dyDescent="0.3">
      <c r="A220" s="8">
        <f t="shared" si="38"/>
        <v>1</v>
      </c>
      <c r="B220" s="4">
        <v>43466</v>
      </c>
      <c r="C220" s="7">
        <v>120.53</v>
      </c>
      <c r="D220" s="11">
        <f t="shared" si="32"/>
        <v>262.35600000000005</v>
      </c>
      <c r="E220">
        <v>1</v>
      </c>
      <c r="F220" s="7">
        <v>25.3</v>
      </c>
      <c r="G220" s="11">
        <f t="shared" si="40"/>
        <v>30.8</v>
      </c>
      <c r="H220">
        <v>2</v>
      </c>
      <c r="I220" s="7">
        <v>106.77</v>
      </c>
      <c r="J220" s="11">
        <f t="shared" si="33"/>
        <v>241.63399999999996</v>
      </c>
      <c r="K220">
        <v>2</v>
      </c>
      <c r="L220" s="7">
        <v>437.96</v>
      </c>
      <c r="M220" s="11">
        <f t="shared" si="34"/>
        <v>671.20894736842092</v>
      </c>
      <c r="N220">
        <v>1</v>
      </c>
      <c r="O220" s="7">
        <v>189.83</v>
      </c>
      <c r="P220" s="11">
        <f t="shared" si="35"/>
        <v>362.94894736842105</v>
      </c>
      <c r="Q220">
        <v>2</v>
      </c>
      <c r="R220" s="15">
        <v>5.31</v>
      </c>
      <c r="S220" s="11">
        <f t="shared" si="36"/>
        <v>90.957368421052621</v>
      </c>
      <c r="T220" s="8">
        <v>1</v>
      </c>
      <c r="U220" s="8">
        <f t="shared" si="31"/>
        <v>83.060000000000016</v>
      </c>
      <c r="V220" s="11">
        <f t="shared" si="37"/>
        <v>126.33499999999998</v>
      </c>
      <c r="W220" s="11">
        <f t="shared" si="39"/>
        <v>85.204166666666666</v>
      </c>
    </row>
    <row r="221" spans="1:23" x14ac:dyDescent="0.3">
      <c r="A221" s="8">
        <f t="shared" si="38"/>
        <v>2</v>
      </c>
      <c r="B221" s="4">
        <v>43497</v>
      </c>
      <c r="C221" s="7">
        <v>117.27</v>
      </c>
      <c r="D221" s="11">
        <f t="shared" si="32"/>
        <v>328.9663157894737</v>
      </c>
      <c r="E221">
        <v>1</v>
      </c>
      <c r="F221" s="7">
        <v>26.75</v>
      </c>
      <c r="G221" s="11">
        <f t="shared" si="40"/>
        <v>33.1875</v>
      </c>
      <c r="H221">
        <v>2</v>
      </c>
      <c r="I221" s="7">
        <v>180.65</v>
      </c>
      <c r="J221" s="11">
        <f t="shared" si="33"/>
        <v>334.30099999999993</v>
      </c>
      <c r="K221">
        <v>2</v>
      </c>
      <c r="L221" s="7">
        <v>664.43</v>
      </c>
      <c r="M221" s="11">
        <f t="shared" si="34"/>
        <v>1650.3500000000001</v>
      </c>
      <c r="N221">
        <v>1</v>
      </c>
      <c r="O221" s="7">
        <v>251.98</v>
      </c>
      <c r="P221" s="11">
        <f t="shared" si="35"/>
        <v>463.72789473684207</v>
      </c>
      <c r="Q221">
        <v>2</v>
      </c>
      <c r="R221" s="15">
        <v>8.23</v>
      </c>
      <c r="S221" s="11">
        <f t="shared" si="36"/>
        <v>109.05882352941175</v>
      </c>
      <c r="T221" s="8">
        <v>1</v>
      </c>
      <c r="U221" s="8">
        <f t="shared" si="31"/>
        <v>71.329999999999984</v>
      </c>
      <c r="V221" s="11">
        <f t="shared" si="37"/>
        <v>134.9257894736842</v>
      </c>
      <c r="W221" s="11">
        <f t="shared" si="39"/>
        <v>85.399090909090916</v>
      </c>
    </row>
    <row r="222" spans="1:23" x14ac:dyDescent="0.3">
      <c r="A222" s="8">
        <f t="shared" si="38"/>
        <v>3</v>
      </c>
      <c r="B222" s="4">
        <v>43525</v>
      </c>
      <c r="C222" s="7">
        <v>142.26</v>
      </c>
      <c r="D222" s="11">
        <f t="shared" si="32"/>
        <v>469.14</v>
      </c>
      <c r="E222">
        <v>104</v>
      </c>
      <c r="F222" s="7">
        <v>26.34</v>
      </c>
      <c r="G222" s="11">
        <f t="shared" si="40"/>
        <v>37.004666666666672</v>
      </c>
      <c r="H222">
        <v>2</v>
      </c>
      <c r="I222" s="7">
        <v>178.51</v>
      </c>
      <c r="J222" s="11">
        <f t="shared" si="33"/>
        <v>431.04200000000003</v>
      </c>
      <c r="K222">
        <v>1</v>
      </c>
      <c r="L222" s="7">
        <v>831.62</v>
      </c>
      <c r="M222" s="11">
        <f t="shared" si="34"/>
        <v>3124.677368421053</v>
      </c>
      <c r="N222">
        <v>1</v>
      </c>
      <c r="O222" s="7">
        <v>276.38</v>
      </c>
      <c r="P222" s="11">
        <f t="shared" si="35"/>
        <v>565.95157894736838</v>
      </c>
      <c r="Q222">
        <v>2</v>
      </c>
      <c r="R222" s="15">
        <v>5.84</v>
      </c>
      <c r="S222" s="11">
        <f t="shared" si="36"/>
        <v>223.16157894736844</v>
      </c>
      <c r="T222" s="8">
        <v>1</v>
      </c>
      <c r="U222" s="8">
        <f t="shared" si="31"/>
        <v>97.87</v>
      </c>
      <c r="V222" s="11">
        <f t="shared" si="37"/>
        <v>138.05736842105264</v>
      </c>
      <c r="W222" s="11">
        <f t="shared" si="39"/>
        <v>86.806000000000012</v>
      </c>
    </row>
    <row r="223" spans="1:23" x14ac:dyDescent="0.3">
      <c r="A223" s="8">
        <f t="shared" si="38"/>
        <v>4</v>
      </c>
      <c r="B223" s="4">
        <v>43556</v>
      </c>
      <c r="C223" s="7">
        <v>169.11</v>
      </c>
      <c r="D223" s="11">
        <f t="shared" si="32"/>
        <v>589.29650000000015</v>
      </c>
      <c r="E223">
        <v>104</v>
      </c>
      <c r="F223" s="7">
        <v>22.3</v>
      </c>
      <c r="G223" s="11">
        <f t="shared" si="40"/>
        <v>37.96</v>
      </c>
      <c r="H223">
        <v>2</v>
      </c>
      <c r="I223" s="7">
        <v>148.97</v>
      </c>
      <c r="J223" s="11">
        <f t="shared" si="33"/>
        <v>483.73894736842101</v>
      </c>
      <c r="K223">
        <v>1</v>
      </c>
      <c r="L223" s="7">
        <v>1023.88</v>
      </c>
      <c r="M223" s="11">
        <f t="shared" si="34"/>
        <v>3744.6268421052641</v>
      </c>
      <c r="N223">
        <v>1</v>
      </c>
      <c r="O223" s="7">
        <v>240.54</v>
      </c>
      <c r="P223" s="11">
        <f t="shared" si="35"/>
        <v>682.00947368421055</v>
      </c>
      <c r="Q223">
        <v>2</v>
      </c>
      <c r="R223" s="15">
        <v>6.23</v>
      </c>
      <c r="S223" s="11">
        <f t="shared" si="36"/>
        <v>222.48684210526312</v>
      </c>
      <c r="T223" s="8">
        <v>1</v>
      </c>
      <c r="U223" s="8">
        <f t="shared" si="31"/>
        <v>91.57</v>
      </c>
      <c r="V223" s="11">
        <f t="shared" si="37"/>
        <v>198.27052631578945</v>
      </c>
      <c r="W223" s="11">
        <f t="shared" si="39"/>
        <v>85.576666666666682</v>
      </c>
    </row>
    <row r="224" spans="1:23" x14ac:dyDescent="0.3">
      <c r="A224" s="8">
        <f t="shared" si="38"/>
        <v>5</v>
      </c>
      <c r="B224" s="4">
        <v>43586</v>
      </c>
      <c r="C224" s="7">
        <v>91.05</v>
      </c>
      <c r="D224" s="11">
        <f t="shared" si="32"/>
        <v>310.70526315789482</v>
      </c>
      <c r="E224">
        <v>104</v>
      </c>
      <c r="F224" s="7">
        <v>25.08</v>
      </c>
      <c r="G224" s="11">
        <f t="shared" si="40"/>
        <v>38.770000000000003</v>
      </c>
      <c r="H224">
        <v>2</v>
      </c>
      <c r="I224" s="7">
        <v>127.38</v>
      </c>
      <c r="J224" s="11">
        <f t="shared" si="33"/>
        <v>306.97578947368419</v>
      </c>
      <c r="K224">
        <v>1</v>
      </c>
      <c r="L224" s="7">
        <v>965.03</v>
      </c>
      <c r="M224" s="11">
        <f t="shared" si="34"/>
        <v>2961.8094736842104</v>
      </c>
      <c r="N224">
        <v>2</v>
      </c>
      <c r="O224" s="7">
        <v>220.86</v>
      </c>
      <c r="P224" s="11">
        <f t="shared" si="35"/>
        <v>530.60473684210535</v>
      </c>
      <c r="Q224">
        <v>2</v>
      </c>
      <c r="R224" s="15">
        <v>130.71</v>
      </c>
      <c r="S224" s="11">
        <f t="shared" si="36"/>
        <v>164.41473684210524</v>
      </c>
      <c r="T224" s="8">
        <v>1</v>
      </c>
      <c r="U224" s="8">
        <f t="shared" si="31"/>
        <v>93.480000000000018</v>
      </c>
      <c r="V224" s="11">
        <f t="shared" si="37"/>
        <v>223.628947368421</v>
      </c>
      <c r="W224" s="11">
        <f t="shared" si="39"/>
        <v>84.827500000000015</v>
      </c>
    </row>
    <row r="225" spans="1:23" x14ac:dyDescent="0.3">
      <c r="A225" s="8">
        <f t="shared" si="38"/>
        <v>6</v>
      </c>
      <c r="B225" s="4">
        <v>43617</v>
      </c>
      <c r="C225" s="7">
        <v>38.270000000000003</v>
      </c>
      <c r="D225" s="11">
        <f t="shared" si="32"/>
        <v>145.28526315789475</v>
      </c>
      <c r="E225">
        <v>104</v>
      </c>
      <c r="F225" s="7">
        <v>19.53</v>
      </c>
      <c r="G225" s="11">
        <f t="shared" si="40"/>
        <v>40.809285714285714</v>
      </c>
      <c r="H225">
        <v>2</v>
      </c>
      <c r="I225" s="7">
        <v>89.04</v>
      </c>
      <c r="J225" s="11">
        <f t="shared" si="33"/>
        <v>158.42111111111114</v>
      </c>
      <c r="K225">
        <v>1</v>
      </c>
      <c r="L225" s="7">
        <v>516.4</v>
      </c>
      <c r="M225" s="11">
        <f t="shared" si="34"/>
        <v>1490.274210526316</v>
      </c>
      <c r="N225">
        <v>2</v>
      </c>
      <c r="O225" s="7">
        <v>176.52</v>
      </c>
      <c r="P225" s="11">
        <f t="shared" si="35"/>
        <v>340.09052631578948</v>
      </c>
      <c r="Q225">
        <v>2</v>
      </c>
      <c r="R225" s="15">
        <v>20.03</v>
      </c>
      <c r="S225" s="11">
        <f t="shared" si="36"/>
        <v>102.51894736842105</v>
      </c>
      <c r="T225" s="8">
        <v>1</v>
      </c>
      <c r="U225" s="8">
        <f t="shared" si="31"/>
        <v>87.48</v>
      </c>
      <c r="V225" s="11">
        <f t="shared" si="37"/>
        <v>179.35777777777776</v>
      </c>
      <c r="W225" s="11">
        <f t="shared" si="39"/>
        <v>83.591428571428565</v>
      </c>
    </row>
    <row r="226" spans="1:23" x14ac:dyDescent="0.3">
      <c r="A226" s="8">
        <f t="shared" si="38"/>
        <v>7</v>
      </c>
      <c r="B226" s="4">
        <v>43647</v>
      </c>
      <c r="C226" s="7">
        <v>50.49</v>
      </c>
      <c r="D226" s="11">
        <f t="shared" si="32"/>
        <v>111.3</v>
      </c>
      <c r="E226">
        <v>104</v>
      </c>
      <c r="F226" s="7">
        <v>18.329999999999998</v>
      </c>
      <c r="G226" s="11">
        <f t="shared" si="40"/>
        <v>43.05</v>
      </c>
      <c r="H226">
        <v>2</v>
      </c>
      <c r="I226" s="7">
        <v>63.46</v>
      </c>
      <c r="J226" s="11">
        <f t="shared" si="33"/>
        <v>111.83722222222222</v>
      </c>
      <c r="K226">
        <v>1</v>
      </c>
      <c r="L226" s="7">
        <v>324.99</v>
      </c>
      <c r="M226" s="11">
        <f t="shared" si="34"/>
        <v>693.74263157894745</v>
      </c>
      <c r="N226">
        <v>2</v>
      </c>
      <c r="O226" s="7">
        <v>146.26</v>
      </c>
      <c r="P226" s="11">
        <f t="shared" si="35"/>
        <v>256.32526315789482</v>
      </c>
      <c r="Q226">
        <v>2</v>
      </c>
      <c r="R226" s="15">
        <v>13.54</v>
      </c>
      <c r="S226" s="11">
        <f t="shared" si="36"/>
        <v>63.705789473684213</v>
      </c>
      <c r="T226" s="8">
        <v>1</v>
      </c>
      <c r="U226" s="8">
        <f t="shared" si="31"/>
        <v>82.799999999999983</v>
      </c>
      <c r="V226" s="11">
        <f t="shared" si="37"/>
        <v>141.94888888888892</v>
      </c>
      <c r="W226" s="11">
        <f t="shared" si="39"/>
        <v>82.943333333333328</v>
      </c>
    </row>
    <row r="227" spans="1:23" x14ac:dyDescent="0.3">
      <c r="A227" s="8">
        <f t="shared" si="38"/>
        <v>8</v>
      </c>
      <c r="B227" s="4">
        <v>43678</v>
      </c>
      <c r="C227" s="7">
        <v>42.52</v>
      </c>
      <c r="D227" s="11">
        <f t="shared" si="32"/>
        <v>92.337894736842102</v>
      </c>
      <c r="E227">
        <v>1</v>
      </c>
      <c r="F227" s="7">
        <v>22.04</v>
      </c>
      <c r="G227" s="11">
        <f t="shared" si="40"/>
        <v>45.191428571428567</v>
      </c>
      <c r="H227">
        <v>2</v>
      </c>
      <c r="I227" s="7">
        <v>48.74</v>
      </c>
      <c r="J227" s="11">
        <f t="shared" si="33"/>
        <v>89.390555555555537</v>
      </c>
      <c r="K227">
        <v>1</v>
      </c>
      <c r="L227" s="7">
        <v>256.69</v>
      </c>
      <c r="M227" s="11">
        <f t="shared" si="34"/>
        <v>417.0510526315789</v>
      </c>
      <c r="N227">
        <v>2</v>
      </c>
      <c r="O227" s="7">
        <v>134.59</v>
      </c>
      <c r="P227" s="11">
        <f t="shared" si="35"/>
        <v>208.76473684210529</v>
      </c>
      <c r="Q227">
        <v>2</v>
      </c>
      <c r="R227" s="15">
        <v>14.81</v>
      </c>
      <c r="S227" s="11">
        <f t="shared" si="36"/>
        <v>39.715789473684218</v>
      </c>
      <c r="T227" s="8">
        <v>1</v>
      </c>
      <c r="U227" s="8">
        <f t="shared" si="31"/>
        <v>85.85</v>
      </c>
      <c r="V227" s="11">
        <f t="shared" si="37"/>
        <v>118.48611111111111</v>
      </c>
      <c r="W227" s="11">
        <f t="shared" si="39"/>
        <v>82.971999999999994</v>
      </c>
    </row>
    <row r="228" spans="1:23" x14ac:dyDescent="0.3">
      <c r="A228" s="8">
        <f t="shared" si="38"/>
        <v>9</v>
      </c>
      <c r="B228" s="4">
        <v>43709</v>
      </c>
      <c r="C228" s="7">
        <v>23.73</v>
      </c>
      <c r="D228" s="11">
        <f t="shared" si="32"/>
        <v>72.209473684210522</v>
      </c>
      <c r="E228">
        <v>1</v>
      </c>
      <c r="F228" s="7">
        <v>22.92</v>
      </c>
      <c r="G228" s="11">
        <f t="shared" si="40"/>
        <v>44.037692307692296</v>
      </c>
      <c r="H228">
        <v>2</v>
      </c>
      <c r="I228" s="7">
        <v>32.79</v>
      </c>
      <c r="J228" s="11">
        <f t="shared" si="33"/>
        <v>64.317222222222213</v>
      </c>
      <c r="K228">
        <v>1</v>
      </c>
      <c r="L228" s="7">
        <v>205.62</v>
      </c>
      <c r="M228" s="11">
        <f t="shared" si="34"/>
        <v>300.97526315789474</v>
      </c>
      <c r="N228">
        <v>2</v>
      </c>
      <c r="O228" s="7">
        <v>123.39</v>
      </c>
      <c r="P228" s="11">
        <f t="shared" si="35"/>
        <v>173.37368421052631</v>
      </c>
      <c r="Q228">
        <v>2</v>
      </c>
      <c r="R228" s="15">
        <v>11.73</v>
      </c>
      <c r="S228" s="11">
        <f t="shared" si="36"/>
        <v>68.976315789473688</v>
      </c>
      <c r="T228" s="8">
        <v>1</v>
      </c>
      <c r="U228" s="8">
        <f t="shared" si="31"/>
        <v>90.6</v>
      </c>
      <c r="V228" s="11">
        <f t="shared" si="37"/>
        <v>108.505</v>
      </c>
      <c r="W228" s="11">
        <f t="shared" si="39"/>
        <v>82.252499999999998</v>
      </c>
    </row>
    <row r="229" spans="1:23" x14ac:dyDescent="0.3">
      <c r="A229" s="8">
        <f t="shared" si="38"/>
        <v>10</v>
      </c>
      <c r="B229" s="4">
        <v>43739</v>
      </c>
      <c r="C229" s="7">
        <v>20.98</v>
      </c>
      <c r="D229" s="11">
        <f t="shared" si="32"/>
        <v>53.688421052631583</v>
      </c>
      <c r="E229">
        <v>1</v>
      </c>
      <c r="F229" s="7">
        <v>13.5</v>
      </c>
      <c r="G229" s="11">
        <f t="shared" si="40"/>
        <v>38.246428571428574</v>
      </c>
      <c r="H229">
        <v>2</v>
      </c>
      <c r="I229" s="7">
        <v>20.87</v>
      </c>
      <c r="J229" s="11">
        <f t="shared" si="33"/>
        <v>43.578947368421062</v>
      </c>
      <c r="K229">
        <v>1</v>
      </c>
      <c r="L229" s="7">
        <v>153.68</v>
      </c>
      <c r="M229" s="11">
        <f t="shared" si="34"/>
        <v>237.62421052631578</v>
      </c>
      <c r="N229">
        <v>2</v>
      </c>
      <c r="O229" s="7">
        <v>108.2</v>
      </c>
      <c r="P229" s="11">
        <f t="shared" si="35"/>
        <v>143.08473684210523</v>
      </c>
      <c r="Q229">
        <v>2</v>
      </c>
      <c r="R229" s="15">
        <v>5.81</v>
      </c>
      <c r="S229" s="11">
        <f t="shared" si="36"/>
        <v>56.208947368421043</v>
      </c>
      <c r="T229" s="8">
        <v>1</v>
      </c>
      <c r="U229" s="8">
        <f t="shared" si="31"/>
        <v>87.33</v>
      </c>
      <c r="V229" s="11">
        <f t="shared" si="37"/>
        <v>99.505789473684189</v>
      </c>
      <c r="W229" s="11">
        <f t="shared" si="39"/>
        <v>79.469999999999985</v>
      </c>
    </row>
    <row r="230" spans="1:23" x14ac:dyDescent="0.3">
      <c r="A230" s="8">
        <f t="shared" si="38"/>
        <v>11</v>
      </c>
      <c r="B230" s="4">
        <v>43770</v>
      </c>
      <c r="C230" s="7">
        <v>20.02</v>
      </c>
      <c r="D230" s="11">
        <f t="shared" si="32"/>
        <v>65.729473684210518</v>
      </c>
      <c r="E230">
        <v>1</v>
      </c>
      <c r="F230" s="7">
        <v>8.9700000000000006</v>
      </c>
      <c r="G230" s="11">
        <f t="shared" si="40"/>
        <v>31.170666666666669</v>
      </c>
      <c r="H230">
        <v>2</v>
      </c>
      <c r="I230" s="7">
        <v>22.75</v>
      </c>
      <c r="J230" s="11">
        <f t="shared" si="33"/>
        <v>42.795263157894738</v>
      </c>
      <c r="K230">
        <v>1</v>
      </c>
      <c r="L230" s="7">
        <v>172.42</v>
      </c>
      <c r="M230" s="11">
        <f t="shared" si="34"/>
        <v>234.77473684210523</v>
      </c>
      <c r="N230">
        <v>2</v>
      </c>
      <c r="O230" s="7">
        <v>100.46</v>
      </c>
      <c r="P230" s="11">
        <f t="shared" si="35"/>
        <v>138.83421052631579</v>
      </c>
      <c r="Q230">
        <v>2</v>
      </c>
      <c r="R230" s="15">
        <v>5.44</v>
      </c>
      <c r="S230" s="11">
        <f t="shared" si="36"/>
        <v>58.608421052631591</v>
      </c>
      <c r="T230" s="8">
        <v>1</v>
      </c>
      <c r="U230" s="8">
        <f t="shared" si="31"/>
        <v>77.709999999999994</v>
      </c>
      <c r="V230" s="11">
        <f t="shared" si="37"/>
        <v>96.038947368421077</v>
      </c>
      <c r="W230" s="11">
        <f t="shared" si="39"/>
        <v>75.539999999999992</v>
      </c>
    </row>
    <row r="231" spans="1:23" x14ac:dyDescent="0.3">
      <c r="A231" s="8">
        <f t="shared" si="38"/>
        <v>12</v>
      </c>
      <c r="B231" s="4">
        <v>43800</v>
      </c>
      <c r="C231" s="7">
        <v>111.3</v>
      </c>
      <c r="D231" s="11">
        <f t="shared" si="32"/>
        <v>164.87789473684211</v>
      </c>
      <c r="E231">
        <v>1</v>
      </c>
      <c r="F231" s="7">
        <v>4.82</v>
      </c>
      <c r="G231" s="11">
        <f t="shared" si="40"/>
        <v>29.229375000000001</v>
      </c>
      <c r="H231">
        <v>2</v>
      </c>
      <c r="I231" s="7">
        <v>61.89</v>
      </c>
      <c r="J231" s="11">
        <f t="shared" si="33"/>
        <v>123.60999999999999</v>
      </c>
      <c r="K231">
        <v>1</v>
      </c>
      <c r="L231" s="7">
        <v>290.36</v>
      </c>
      <c r="M231" s="11">
        <f t="shared" si="34"/>
        <v>340.84421052631575</v>
      </c>
      <c r="N231">
        <v>2</v>
      </c>
      <c r="O231" s="7">
        <v>135.26</v>
      </c>
      <c r="P231" s="11">
        <f t="shared" si="35"/>
        <v>216.46631578947367</v>
      </c>
      <c r="Q231">
        <v>2</v>
      </c>
      <c r="R231" s="15">
        <v>20.02</v>
      </c>
      <c r="S231" s="11">
        <f t="shared" si="36"/>
        <v>129.68894736842105</v>
      </c>
      <c r="T231" s="8">
        <v>1</v>
      </c>
      <c r="U231" s="8">
        <f t="shared" si="31"/>
        <v>73.36999999999999</v>
      </c>
      <c r="V231" s="11">
        <f t="shared" si="37"/>
        <v>92.856315789473669</v>
      </c>
      <c r="W231" s="11">
        <f t="shared" si="39"/>
        <v>73.36999999999999</v>
      </c>
    </row>
    <row r="232" spans="1:23" x14ac:dyDescent="0.3">
      <c r="A232" s="8">
        <f t="shared" si="38"/>
        <v>1</v>
      </c>
      <c r="B232" s="4">
        <v>43831</v>
      </c>
      <c r="C232" s="7">
        <v>438.48</v>
      </c>
      <c r="D232" s="11">
        <f t="shared" si="32"/>
        <v>262.35600000000005</v>
      </c>
      <c r="E232">
        <v>1</v>
      </c>
      <c r="G232" s="11">
        <f t="shared" si="40"/>
        <v>30.8</v>
      </c>
      <c r="H232">
        <v>255</v>
      </c>
      <c r="I232" s="7">
        <v>191.99</v>
      </c>
      <c r="J232" s="11">
        <f t="shared" si="33"/>
        <v>241.63399999999996</v>
      </c>
      <c r="K232">
        <v>2</v>
      </c>
      <c r="M232" s="11">
        <f t="shared" si="34"/>
        <v>671.20894736842092</v>
      </c>
      <c r="N232">
        <v>255</v>
      </c>
      <c r="P232" s="11">
        <f t="shared" si="35"/>
        <v>362.94894736842105</v>
      </c>
      <c r="Q232">
        <v>255</v>
      </c>
      <c r="R232" s="15">
        <v>7.32</v>
      </c>
      <c r="S232" s="11">
        <f t="shared" si="36"/>
        <v>90.957368421052621</v>
      </c>
      <c r="T232" s="8">
        <v>1</v>
      </c>
      <c r="U232" s="8" t="str">
        <f t="shared" si="31"/>
        <v/>
      </c>
      <c r="V232" s="11">
        <f t="shared" si="37"/>
        <v>126.33499999999998</v>
      </c>
      <c r="W232" s="11"/>
    </row>
    <row r="233" spans="1:23" x14ac:dyDescent="0.3">
      <c r="A233" s="8">
        <f t="shared" si="38"/>
        <v>2</v>
      </c>
      <c r="B233" s="4">
        <v>43862</v>
      </c>
      <c r="D233" s="11">
        <f t="shared" si="32"/>
        <v>328.9663157894737</v>
      </c>
      <c r="E233">
        <v>151</v>
      </c>
      <c r="G233" s="11"/>
      <c r="H233">
        <v>255</v>
      </c>
      <c r="I233" s="7">
        <v>438.78</v>
      </c>
      <c r="J233" s="11">
        <f t="shared" si="33"/>
        <v>334.30099999999993</v>
      </c>
      <c r="K233">
        <v>2</v>
      </c>
      <c r="M233" s="11">
        <f t="shared" si="34"/>
        <v>1650.3500000000001</v>
      </c>
      <c r="N233">
        <v>255</v>
      </c>
      <c r="P233" s="11">
        <f t="shared" si="35"/>
        <v>463.72789473684207</v>
      </c>
      <c r="Q233">
        <v>255</v>
      </c>
      <c r="R233" s="15"/>
      <c r="S233" s="11">
        <f t="shared" si="36"/>
        <v>109.05882352941175</v>
      </c>
      <c r="T233" s="8">
        <v>151</v>
      </c>
      <c r="U233" s="8" t="str">
        <f t="shared" si="31"/>
        <v/>
      </c>
      <c r="V233" s="11">
        <f t="shared" si="37"/>
        <v>134.9257894736842</v>
      </c>
      <c r="W233" s="11"/>
    </row>
    <row r="234" spans="1:23" x14ac:dyDescent="0.3">
      <c r="A234" s="8">
        <f t="shared" si="38"/>
        <v>3</v>
      </c>
      <c r="B234" s="4">
        <v>43891</v>
      </c>
      <c r="D234" s="11">
        <f t="shared" si="32"/>
        <v>469.14</v>
      </c>
      <c r="E234">
        <v>151</v>
      </c>
      <c r="G234" s="11"/>
      <c r="H234">
        <v>255</v>
      </c>
      <c r="I234" s="7">
        <v>490.85</v>
      </c>
      <c r="J234" s="11">
        <f t="shared" si="33"/>
        <v>431.04200000000003</v>
      </c>
      <c r="K234">
        <v>2</v>
      </c>
      <c r="M234" s="11">
        <f t="shared" si="34"/>
        <v>3124.677368421053</v>
      </c>
      <c r="N234">
        <v>255</v>
      </c>
      <c r="P234" s="11">
        <f t="shared" si="35"/>
        <v>565.95157894736838</v>
      </c>
      <c r="Q234">
        <v>255</v>
      </c>
      <c r="R234" s="15">
        <v>36.130000000000003</v>
      </c>
      <c r="S234" s="11">
        <f t="shared" si="36"/>
        <v>223.16157894736844</v>
      </c>
      <c r="T234" s="8">
        <v>1</v>
      </c>
      <c r="U234" s="8" t="str">
        <f t="shared" si="31"/>
        <v/>
      </c>
      <c r="V234" s="11">
        <f t="shared" si="37"/>
        <v>138.05736842105264</v>
      </c>
      <c r="W234" s="11"/>
    </row>
    <row r="235" spans="1:23" x14ac:dyDescent="0.3">
      <c r="A235" s="8">
        <f t="shared" si="38"/>
        <v>4</v>
      </c>
      <c r="B235" s="4">
        <v>43922</v>
      </c>
      <c r="C235" s="7">
        <v>992.56</v>
      </c>
      <c r="D235" s="11">
        <f t="shared" si="32"/>
        <v>589.29650000000015</v>
      </c>
      <c r="E235">
        <v>1</v>
      </c>
      <c r="G235" s="11"/>
      <c r="H235">
        <v>255</v>
      </c>
      <c r="J235" s="11">
        <f t="shared" si="33"/>
        <v>483.73894736842101</v>
      </c>
      <c r="K235">
        <v>255</v>
      </c>
      <c r="M235" s="11">
        <f t="shared" si="34"/>
        <v>3744.6268421052641</v>
      </c>
      <c r="N235">
        <v>255</v>
      </c>
      <c r="P235" s="11">
        <f t="shared" si="35"/>
        <v>682.00947368421055</v>
      </c>
      <c r="Q235">
        <v>255</v>
      </c>
      <c r="R235" s="8"/>
      <c r="S235" s="11"/>
      <c r="T235" s="8"/>
      <c r="U235" s="8" t="str">
        <f t="shared" si="31"/>
        <v/>
      </c>
      <c r="V235" s="11">
        <f t="shared" si="37"/>
        <v>198.27052631578945</v>
      </c>
      <c r="W235" s="11"/>
    </row>
    <row r="236" spans="1:23" x14ac:dyDescent="0.3">
      <c r="A236" s="8">
        <f t="shared" si="38"/>
        <v>1</v>
      </c>
      <c r="D236" s="11">
        <f t="shared" si="32"/>
        <v>262.35600000000005</v>
      </c>
      <c r="E236">
        <v>255</v>
      </c>
      <c r="G236" s="11"/>
      <c r="H236">
        <v>255</v>
      </c>
      <c r="J236" s="11">
        <f t="shared" si="33"/>
        <v>241.63399999999996</v>
      </c>
      <c r="K236">
        <v>255</v>
      </c>
      <c r="M236" s="11">
        <f t="shared" si="34"/>
        <v>671.20894736842092</v>
      </c>
      <c r="N236">
        <v>255</v>
      </c>
      <c r="P236" s="11">
        <f t="shared" si="35"/>
        <v>362.94894736842105</v>
      </c>
      <c r="Q236">
        <v>255</v>
      </c>
      <c r="S236" s="11"/>
      <c r="U236" s="8" t="str">
        <f t="shared" si="31"/>
        <v/>
      </c>
      <c r="V236" s="11">
        <f t="shared" si="37"/>
        <v>126.33499999999998</v>
      </c>
      <c r="W236" s="11"/>
    </row>
    <row r="248" spans="12:24" customFormat="1" x14ac:dyDescent="0.3">
      <c r="L248" s="12"/>
      <c r="M248" s="12"/>
      <c r="N248" s="13"/>
      <c r="O248" s="12"/>
      <c r="P248" s="12"/>
      <c r="Q248" s="13"/>
      <c r="R248" s="13"/>
      <c r="S248" s="13"/>
      <c r="T248" s="13"/>
      <c r="U248" s="13"/>
      <c r="V248" s="13"/>
      <c r="W248" s="13"/>
      <c r="X248" s="13"/>
    </row>
    <row r="249" spans="12:24" customFormat="1" x14ac:dyDescent="0.3">
      <c r="L249" s="12"/>
      <c r="M249" s="12"/>
      <c r="N249" s="13"/>
      <c r="O249" s="12"/>
      <c r="P249" s="12"/>
      <c r="Q249" s="13"/>
      <c r="R249" s="13"/>
      <c r="S249" s="13"/>
      <c r="T249" s="13"/>
      <c r="U249" s="13"/>
      <c r="V249" s="13"/>
      <c r="W249" s="13"/>
      <c r="X249" s="13"/>
    </row>
    <row r="250" spans="12:24" customFormat="1" x14ac:dyDescent="0.3">
      <c r="L250" s="12"/>
      <c r="M250" s="12"/>
      <c r="N250" s="13"/>
      <c r="O250" s="12"/>
      <c r="P250" s="12"/>
      <c r="Q250" s="13"/>
      <c r="R250" s="13"/>
      <c r="S250" s="13"/>
      <c r="T250" s="13"/>
      <c r="U250" s="13"/>
      <c r="V250" s="13"/>
      <c r="W250" s="13"/>
      <c r="X250" s="13"/>
    </row>
    <row r="251" spans="12:24" customFormat="1" x14ac:dyDescent="0.3">
      <c r="L251" s="12"/>
      <c r="M251" s="12"/>
      <c r="N251" s="13"/>
      <c r="O251" s="12"/>
      <c r="P251" s="12"/>
      <c r="Q251" s="13"/>
      <c r="R251" s="13"/>
      <c r="S251" s="13"/>
      <c r="T251" s="13"/>
      <c r="U251" s="13"/>
      <c r="V251" s="13"/>
      <c r="W251" s="13"/>
      <c r="X251" s="13"/>
    </row>
    <row r="252" spans="12:24" customFormat="1" x14ac:dyDescent="0.3">
      <c r="L252" s="12"/>
      <c r="M252" s="12"/>
      <c r="N252" s="13"/>
      <c r="O252" s="12"/>
      <c r="P252" s="12"/>
      <c r="Q252" s="13"/>
      <c r="R252" s="13"/>
      <c r="S252" s="13"/>
      <c r="T252" s="13"/>
      <c r="U252" s="13"/>
      <c r="V252" s="13"/>
      <c r="W252" s="13"/>
      <c r="X252" s="13"/>
    </row>
    <row r="253" spans="12:24" customFormat="1" x14ac:dyDescent="0.3">
      <c r="L253" s="12"/>
      <c r="M253" s="12"/>
      <c r="N253" s="13"/>
      <c r="O253" s="12"/>
      <c r="P253" s="12"/>
      <c r="Q253" s="13"/>
      <c r="R253" s="13"/>
      <c r="S253" s="13"/>
      <c r="T253" s="13"/>
      <c r="U253" s="13"/>
      <c r="V253" s="13"/>
      <c r="W253" s="13"/>
      <c r="X253" s="13"/>
    </row>
    <row r="254" spans="12:24" customFormat="1" x14ac:dyDescent="0.3">
      <c r="L254" s="12"/>
      <c r="M254" s="12"/>
      <c r="N254" s="13"/>
      <c r="O254" s="12"/>
      <c r="P254" s="12"/>
      <c r="Q254" s="13"/>
      <c r="R254" s="13"/>
      <c r="S254" s="13"/>
      <c r="T254" s="13"/>
      <c r="U254" s="13"/>
      <c r="V254" s="13"/>
      <c r="W254" s="13"/>
      <c r="X254" s="13"/>
    </row>
    <row r="255" spans="12:24" customFormat="1" x14ac:dyDescent="0.3">
      <c r="L255" s="12"/>
      <c r="M255" s="12"/>
      <c r="N255" s="13"/>
      <c r="O255" s="12"/>
      <c r="P255" s="12"/>
      <c r="Q255" s="13"/>
      <c r="R255" s="13"/>
      <c r="S255" s="13"/>
      <c r="T255" s="13"/>
      <c r="U255" s="13"/>
      <c r="V255" s="13"/>
      <c r="W255" s="13"/>
      <c r="X255" s="13"/>
    </row>
    <row r="256" spans="12:24" customFormat="1" x14ac:dyDescent="0.3">
      <c r="L256" s="12"/>
      <c r="M256" s="12"/>
      <c r="N256" s="13"/>
      <c r="O256" s="12"/>
      <c r="P256" s="12"/>
      <c r="Q256" s="13"/>
      <c r="R256" s="13"/>
      <c r="S256" s="13"/>
      <c r="T256" s="13"/>
      <c r="U256" s="13"/>
      <c r="V256" s="13"/>
      <c r="W256" s="13"/>
      <c r="X256" s="13"/>
    </row>
    <row r="257" spans="2:24" customFormat="1" x14ac:dyDescent="0.3">
      <c r="B257" s="5"/>
      <c r="C257" s="7"/>
      <c r="D257" s="7"/>
      <c r="F257" s="7"/>
      <c r="G257" s="7"/>
      <c r="I257" s="7"/>
      <c r="J257" s="7"/>
      <c r="L257" s="12"/>
      <c r="M257" s="12"/>
      <c r="N257" s="13"/>
      <c r="O257" s="12"/>
      <c r="P257" s="12"/>
      <c r="Q257" s="13"/>
      <c r="R257" s="13"/>
      <c r="S257" s="13"/>
      <c r="T257" s="13"/>
      <c r="U257" s="13"/>
      <c r="V257" s="13"/>
      <c r="W257" s="13"/>
      <c r="X257" s="13"/>
    </row>
    <row r="258" spans="2:24" customFormat="1" x14ac:dyDescent="0.3">
      <c r="B258" s="14"/>
      <c r="C258" s="12"/>
      <c r="D258" s="12"/>
      <c r="E258" s="13"/>
      <c r="F258" s="12"/>
      <c r="G258" s="12"/>
      <c r="H258" s="13"/>
      <c r="I258" s="12"/>
      <c r="J258" s="12"/>
      <c r="K258" s="13"/>
      <c r="L258" s="12"/>
      <c r="M258" s="12"/>
      <c r="N258" s="13"/>
      <c r="O258" s="12"/>
      <c r="P258" s="12"/>
      <c r="Q258" s="13"/>
      <c r="R258" s="13"/>
      <c r="S258" s="13"/>
      <c r="T258" s="13"/>
      <c r="U258" s="13"/>
      <c r="V258" s="13"/>
      <c r="W258" s="13"/>
      <c r="X258" s="13"/>
    </row>
    <row r="259" spans="2:24" customFormat="1" x14ac:dyDescent="0.3">
      <c r="B259" s="14"/>
      <c r="C259" s="12"/>
      <c r="D259" s="12"/>
      <c r="E259" s="13"/>
      <c r="F259" s="12"/>
      <c r="G259" s="12"/>
      <c r="H259" s="13"/>
      <c r="I259" s="12"/>
      <c r="J259" s="12"/>
      <c r="K259" s="13"/>
      <c r="L259" s="12"/>
      <c r="M259" s="12"/>
      <c r="N259" s="13"/>
      <c r="O259" s="12"/>
      <c r="P259" s="12"/>
      <c r="Q259" s="13"/>
      <c r="R259" s="13"/>
      <c r="S259" s="13"/>
      <c r="T259" s="13"/>
      <c r="U259" s="13"/>
      <c r="V259" s="13"/>
      <c r="W259" s="13"/>
      <c r="X259" s="13"/>
    </row>
    <row r="260" spans="2:24" customFormat="1" x14ac:dyDescent="0.3">
      <c r="B260" s="14"/>
      <c r="C260" s="12"/>
      <c r="D260" s="12"/>
      <c r="E260" s="13"/>
      <c r="F260" s="12"/>
      <c r="G260" s="12"/>
      <c r="H260" s="13"/>
      <c r="I260" s="12"/>
      <c r="J260" s="12"/>
      <c r="K260" s="13"/>
      <c r="L260" s="12"/>
      <c r="M260" s="12"/>
      <c r="N260" s="13"/>
      <c r="O260" s="12"/>
      <c r="P260" s="12"/>
      <c r="Q260" s="13"/>
      <c r="R260" s="13"/>
      <c r="S260" s="13"/>
      <c r="T260" s="13"/>
      <c r="U260" s="13"/>
      <c r="V260" s="13"/>
      <c r="W260" s="13"/>
      <c r="X260" s="13"/>
    </row>
    <row r="261" spans="2:24" customFormat="1" x14ac:dyDescent="0.3">
      <c r="B261" s="14"/>
      <c r="C261" s="12"/>
      <c r="D261" s="12"/>
      <c r="E261" s="13"/>
      <c r="F261" s="12"/>
      <c r="G261" s="12"/>
      <c r="H261" s="13"/>
      <c r="I261" s="12"/>
      <c r="J261" s="12"/>
      <c r="K261" s="13"/>
      <c r="L261" s="12"/>
      <c r="M261" s="12"/>
      <c r="N261" s="13"/>
      <c r="O261" s="12"/>
      <c r="P261" s="12"/>
      <c r="Q261" s="13"/>
      <c r="R261" s="13"/>
      <c r="S261" s="13"/>
      <c r="T261" s="13"/>
      <c r="U261" s="13"/>
      <c r="V261" s="13"/>
      <c r="W261" s="13"/>
      <c r="X261" s="13"/>
    </row>
    <row r="262" spans="2:24" customFormat="1" x14ac:dyDescent="0.3">
      <c r="B262" s="14"/>
      <c r="C262" s="12"/>
      <c r="D262" s="12"/>
      <c r="E262" s="13"/>
      <c r="F262" s="12"/>
      <c r="G262" s="12"/>
      <c r="H262" s="13"/>
      <c r="I262" s="12"/>
      <c r="J262" s="12"/>
      <c r="K262" s="13"/>
      <c r="L262" s="12"/>
      <c r="M262" s="12"/>
      <c r="N262" s="13"/>
      <c r="O262" s="12"/>
      <c r="P262" s="12"/>
      <c r="Q262" s="13"/>
      <c r="R262" s="13"/>
      <c r="S262" s="13"/>
      <c r="T262" s="13"/>
      <c r="U262" s="13"/>
      <c r="V262" s="13"/>
      <c r="W262" s="13"/>
      <c r="X262" s="13"/>
    </row>
    <row r="263" spans="2:24" customFormat="1" x14ac:dyDescent="0.3">
      <c r="B263" s="14"/>
      <c r="C263" s="12"/>
      <c r="D263" s="12"/>
      <c r="E263" s="13"/>
      <c r="F263" s="12"/>
      <c r="G263" s="12"/>
      <c r="H263" s="13"/>
      <c r="I263" s="12"/>
      <c r="J263" s="12"/>
      <c r="K263" s="13"/>
      <c r="L263" s="12"/>
      <c r="M263" s="12"/>
      <c r="N263" s="13"/>
      <c r="O263" s="12"/>
      <c r="P263" s="12"/>
      <c r="Q263" s="13"/>
      <c r="R263" s="13"/>
      <c r="S263" s="13"/>
      <c r="T263" s="13"/>
      <c r="U263" s="13"/>
      <c r="V263" s="13"/>
      <c r="W263" s="13"/>
      <c r="X263" s="13"/>
    </row>
    <row r="264" spans="2:24" customFormat="1" x14ac:dyDescent="0.3">
      <c r="B264" s="14"/>
      <c r="C264" s="12"/>
      <c r="D264" s="12"/>
      <c r="E264" s="13"/>
      <c r="F264" s="12"/>
      <c r="G264" s="12"/>
      <c r="H264" s="13"/>
      <c r="I264" s="12"/>
      <c r="J264" s="12"/>
      <c r="K264" s="13"/>
      <c r="L264" s="12"/>
      <c r="M264" s="12"/>
      <c r="N264" s="13"/>
      <c r="O264" s="12"/>
      <c r="P264" s="12"/>
      <c r="Q264" s="13"/>
      <c r="R264" s="13"/>
      <c r="S264" s="13"/>
      <c r="T264" s="13"/>
      <c r="U264" s="13"/>
      <c r="V264" s="13"/>
      <c r="W264" s="13"/>
      <c r="X264" s="13"/>
    </row>
    <row r="265" spans="2:24" customFormat="1" x14ac:dyDescent="0.3">
      <c r="B265" s="14"/>
      <c r="C265" s="12"/>
      <c r="D265" s="12"/>
      <c r="E265" s="13"/>
      <c r="F265" s="12"/>
      <c r="G265" s="12"/>
      <c r="H265" s="13"/>
      <c r="I265" s="12"/>
      <c r="J265" s="12"/>
      <c r="K265" s="13"/>
      <c r="L265" s="12"/>
      <c r="M265" s="12"/>
      <c r="N265" s="13"/>
      <c r="O265" s="12"/>
      <c r="P265" s="12"/>
      <c r="Q265" s="13"/>
      <c r="R265" s="13"/>
      <c r="S265" s="13"/>
      <c r="T265" s="13"/>
      <c r="U265" s="13"/>
      <c r="V265" s="13"/>
      <c r="W265" s="13"/>
      <c r="X265" s="13"/>
    </row>
    <row r="266" spans="2:24" customFormat="1" x14ac:dyDescent="0.3">
      <c r="B266" s="14"/>
      <c r="C266" s="12"/>
      <c r="D266" s="12"/>
      <c r="E266" s="13"/>
      <c r="F266" s="12"/>
      <c r="G266" s="12"/>
      <c r="H266" s="13"/>
      <c r="I266" s="12"/>
      <c r="J266" s="12"/>
      <c r="K266" s="13"/>
      <c r="L266" s="12"/>
      <c r="M266" s="12"/>
      <c r="N266" s="13"/>
      <c r="O266" s="12"/>
      <c r="P266" s="12"/>
      <c r="Q266" s="13"/>
      <c r="R266" s="13"/>
      <c r="S266" s="13"/>
      <c r="T266" s="13"/>
      <c r="U266" s="13"/>
      <c r="V266" s="13"/>
      <c r="W266" s="13"/>
      <c r="X266" s="13"/>
    </row>
    <row r="267" spans="2:24" customFormat="1" x14ac:dyDescent="0.3">
      <c r="B267" s="14"/>
      <c r="C267" s="12"/>
      <c r="D267" s="12"/>
      <c r="E267" s="13"/>
      <c r="F267" s="12"/>
      <c r="G267" s="12"/>
      <c r="H267" s="13"/>
      <c r="I267" s="12"/>
      <c r="J267" s="12"/>
      <c r="K267" s="13"/>
      <c r="L267" s="12"/>
      <c r="M267" s="12"/>
      <c r="N267" s="13"/>
      <c r="O267" s="12"/>
      <c r="P267" s="12"/>
      <c r="Q267" s="13"/>
      <c r="R267" s="13"/>
      <c r="S267" s="13"/>
      <c r="T267" s="13"/>
      <c r="U267" s="13"/>
      <c r="V267" s="13"/>
      <c r="W267" s="13"/>
      <c r="X267" s="13"/>
    </row>
    <row r="268" spans="2:24" customFormat="1" x14ac:dyDescent="0.3">
      <c r="B268" s="14"/>
      <c r="C268" s="12"/>
      <c r="D268" s="12"/>
      <c r="E268" s="13"/>
      <c r="F268" s="12"/>
      <c r="G268" s="12"/>
      <c r="H268" s="13"/>
      <c r="I268" s="12"/>
      <c r="J268" s="12"/>
      <c r="K268" s="13"/>
      <c r="L268" s="12"/>
      <c r="M268" s="12"/>
      <c r="N268" s="13"/>
      <c r="O268" s="12"/>
      <c r="P268" s="12"/>
      <c r="Q268" s="13"/>
      <c r="R268" s="13"/>
      <c r="S268" s="13"/>
      <c r="T268" s="13"/>
      <c r="U268" s="13"/>
      <c r="V268" s="13"/>
      <c r="W268" s="13"/>
      <c r="X268" s="13"/>
    </row>
    <row r="269" spans="2:24" customFormat="1" x14ac:dyDescent="0.3">
      <c r="B269" s="14"/>
      <c r="C269" s="12"/>
      <c r="D269" s="12"/>
      <c r="E269" s="13"/>
      <c r="F269" s="12"/>
      <c r="G269" s="12"/>
      <c r="H269" s="13"/>
      <c r="I269" s="12"/>
      <c r="J269" s="12"/>
      <c r="K269" s="13"/>
      <c r="L269" s="12"/>
      <c r="M269" s="12"/>
      <c r="N269" s="13"/>
      <c r="O269" s="12"/>
      <c r="P269" s="12"/>
      <c r="Q269" s="13"/>
      <c r="R269" s="13"/>
      <c r="S269" s="13"/>
      <c r="T269" s="13"/>
      <c r="U269" s="13"/>
      <c r="V269" s="13"/>
      <c r="W269" s="13"/>
      <c r="X269" s="13"/>
    </row>
    <row r="270" spans="2:24" customFormat="1" x14ac:dyDescent="0.3">
      <c r="B270" s="14"/>
      <c r="C270" s="12"/>
      <c r="D270" s="12"/>
      <c r="E270" s="13"/>
      <c r="F270" s="12"/>
      <c r="G270" s="12"/>
      <c r="H270" s="13"/>
      <c r="I270" s="12"/>
      <c r="J270" s="12"/>
      <c r="K270" s="13"/>
      <c r="L270" s="12"/>
      <c r="M270" s="12"/>
      <c r="N270" s="13"/>
      <c r="O270" s="12"/>
      <c r="P270" s="12"/>
      <c r="Q270" s="13"/>
      <c r="R270" s="13"/>
      <c r="S270" s="13"/>
      <c r="T270" s="13"/>
      <c r="U270" s="13"/>
      <c r="V270" s="13"/>
      <c r="W270" s="13"/>
      <c r="X270" s="13"/>
    </row>
    <row r="271" spans="2:24" customFormat="1" x14ac:dyDescent="0.3">
      <c r="B271" s="14"/>
      <c r="C271" s="12"/>
      <c r="D271" s="12"/>
      <c r="E271" s="13"/>
      <c r="F271" s="12"/>
      <c r="G271" s="12"/>
      <c r="H271" s="13"/>
      <c r="I271" s="12"/>
      <c r="J271" s="12"/>
      <c r="K271" s="13"/>
      <c r="L271" s="12"/>
      <c r="M271" s="12"/>
      <c r="N271" s="13"/>
      <c r="O271" s="12"/>
      <c r="P271" s="12"/>
      <c r="Q271" s="13"/>
      <c r="R271" s="13"/>
      <c r="S271" s="13"/>
      <c r="T271" s="13"/>
      <c r="U271" s="13"/>
      <c r="V271" s="13"/>
      <c r="W271" s="13"/>
      <c r="X271" s="13"/>
    </row>
    <row r="272" spans="2:24" customFormat="1" x14ac:dyDescent="0.3">
      <c r="B272" s="14"/>
      <c r="C272" s="12"/>
      <c r="D272" s="12"/>
      <c r="E272" s="13"/>
      <c r="F272" s="12"/>
      <c r="G272" s="12"/>
      <c r="H272" s="13"/>
      <c r="I272" s="12"/>
      <c r="J272" s="12"/>
      <c r="K272" s="13"/>
      <c r="L272" s="12"/>
      <c r="M272" s="12"/>
      <c r="N272" s="13"/>
      <c r="O272" s="12"/>
      <c r="P272" s="12"/>
      <c r="Q272" s="13"/>
      <c r="R272" s="13"/>
      <c r="S272" s="13"/>
      <c r="T272" s="13"/>
      <c r="U272" s="13"/>
      <c r="V272" s="13"/>
      <c r="W272" s="13"/>
      <c r="X272" s="13"/>
    </row>
    <row r="273" spans="2:24" customFormat="1" x14ac:dyDescent="0.3">
      <c r="B273" s="14"/>
      <c r="C273" s="12"/>
      <c r="D273" s="12"/>
      <c r="E273" s="13"/>
      <c r="F273" s="12"/>
      <c r="G273" s="12"/>
      <c r="H273" s="13"/>
      <c r="I273" s="12"/>
      <c r="J273" s="12"/>
      <c r="K273" s="13"/>
      <c r="L273" s="12"/>
      <c r="M273" s="12"/>
      <c r="N273" s="13"/>
      <c r="O273" s="12"/>
      <c r="P273" s="12"/>
      <c r="Q273" s="13"/>
      <c r="R273" s="13"/>
      <c r="S273" s="13"/>
      <c r="T273" s="13"/>
      <c r="U273" s="13"/>
      <c r="V273" s="13"/>
      <c r="W273" s="13"/>
      <c r="X273" s="13"/>
    </row>
    <row r="274" spans="2:24" customFormat="1" x14ac:dyDescent="0.3">
      <c r="B274" s="14"/>
      <c r="C274" s="12"/>
      <c r="D274" s="12"/>
      <c r="E274" s="13"/>
      <c r="F274" s="12"/>
      <c r="G274" s="12"/>
      <c r="H274" s="13"/>
      <c r="I274" s="12"/>
      <c r="J274" s="12"/>
      <c r="K274" s="13"/>
      <c r="L274" s="12"/>
      <c r="M274" s="12"/>
      <c r="N274" s="13"/>
      <c r="O274" s="12"/>
      <c r="P274" s="12"/>
      <c r="Q274" s="13"/>
      <c r="R274" s="13"/>
      <c r="S274" s="13"/>
      <c r="T274" s="13"/>
      <c r="U274" s="13"/>
      <c r="V274" s="13"/>
      <c r="W274" s="13"/>
      <c r="X274" s="13"/>
    </row>
    <row r="275" spans="2:24" customFormat="1" x14ac:dyDescent="0.3">
      <c r="B275" s="14"/>
      <c r="C275" s="12"/>
      <c r="D275" s="12"/>
      <c r="E275" s="13"/>
      <c r="F275" s="12"/>
      <c r="G275" s="12"/>
      <c r="H275" s="13"/>
      <c r="I275" s="12"/>
      <c r="J275" s="12"/>
      <c r="K275" s="13"/>
      <c r="L275" s="12"/>
      <c r="M275" s="12"/>
      <c r="N275" s="13"/>
      <c r="O275" s="12"/>
      <c r="P275" s="12"/>
      <c r="Q275" s="13"/>
      <c r="R275" s="13"/>
      <c r="S275" s="13"/>
      <c r="T275" s="13"/>
      <c r="U275" s="13"/>
      <c r="V275" s="13"/>
      <c r="W275" s="13"/>
      <c r="X275" s="13"/>
    </row>
    <row r="276" spans="2:24" customFormat="1" x14ac:dyDescent="0.3">
      <c r="B276" s="14"/>
      <c r="C276" s="12"/>
      <c r="D276" s="12"/>
      <c r="E276" s="13"/>
      <c r="F276" s="12"/>
      <c r="G276" s="12"/>
      <c r="H276" s="13"/>
      <c r="I276" s="12"/>
      <c r="J276" s="12"/>
      <c r="K276" s="13"/>
      <c r="L276" s="12"/>
      <c r="M276" s="12"/>
      <c r="N276" s="13"/>
      <c r="O276" s="12"/>
      <c r="P276" s="12"/>
      <c r="Q276" s="13"/>
      <c r="R276" s="13"/>
      <c r="S276" s="13"/>
      <c r="T276" s="13"/>
      <c r="U276" s="13"/>
      <c r="V276" s="13"/>
      <c r="W276" s="13"/>
      <c r="X276" s="13"/>
    </row>
    <row r="277" spans="2:24" customFormat="1" x14ac:dyDescent="0.3">
      <c r="B277" s="14"/>
      <c r="C277" s="12"/>
      <c r="D277" s="12"/>
      <c r="E277" s="13"/>
      <c r="F277" s="12"/>
      <c r="G277" s="12"/>
      <c r="H277" s="13"/>
      <c r="I277" s="12"/>
      <c r="J277" s="12"/>
      <c r="K277" s="13"/>
      <c r="L277" s="12"/>
      <c r="M277" s="12"/>
      <c r="N277" s="13"/>
      <c r="O277" s="12"/>
      <c r="P277" s="12"/>
      <c r="Q277" s="13"/>
      <c r="R277" s="13"/>
      <c r="S277" s="13"/>
      <c r="T277" s="13"/>
      <c r="U277" s="13"/>
      <c r="V277" s="13"/>
      <c r="W277" s="13"/>
      <c r="X277" s="13"/>
    </row>
    <row r="278" spans="2:24" customFormat="1" x14ac:dyDescent="0.3">
      <c r="B278" s="14"/>
      <c r="C278" s="12"/>
      <c r="D278" s="12"/>
      <c r="E278" s="13"/>
      <c r="F278" s="12"/>
      <c r="G278" s="12"/>
      <c r="H278" s="13"/>
      <c r="I278" s="12"/>
      <c r="J278" s="12"/>
      <c r="K278" s="13"/>
      <c r="L278" s="12"/>
      <c r="M278" s="12"/>
      <c r="N278" s="13"/>
      <c r="O278" s="12"/>
      <c r="P278" s="12"/>
      <c r="Q278" s="13"/>
      <c r="R278" s="13"/>
      <c r="S278" s="13"/>
      <c r="T278" s="13"/>
      <c r="U278" s="13"/>
      <c r="V278" s="13"/>
      <c r="W278" s="13"/>
      <c r="X278" s="13"/>
    </row>
    <row r="279" spans="2:24" customFormat="1" x14ac:dyDescent="0.3">
      <c r="B279" s="14"/>
      <c r="C279" s="12"/>
      <c r="D279" s="12"/>
      <c r="E279" s="13"/>
      <c r="F279" s="12"/>
      <c r="G279" s="12"/>
      <c r="H279" s="13"/>
      <c r="I279" s="12"/>
      <c r="J279" s="12"/>
      <c r="K279" s="13"/>
      <c r="L279" s="12"/>
      <c r="M279" s="12"/>
      <c r="N279" s="13"/>
      <c r="O279" s="12"/>
      <c r="P279" s="12"/>
      <c r="Q279" s="13"/>
      <c r="R279" s="13"/>
      <c r="S279" s="13"/>
      <c r="T279" s="13"/>
      <c r="U279" s="13"/>
      <c r="V279" s="13"/>
      <c r="W279" s="13"/>
      <c r="X279" s="13"/>
    </row>
    <row r="280" spans="2:24" customFormat="1" x14ac:dyDescent="0.3">
      <c r="B280" s="14"/>
      <c r="C280" s="12"/>
      <c r="D280" s="12"/>
      <c r="E280" s="13"/>
      <c r="F280" s="12"/>
      <c r="G280" s="12"/>
      <c r="H280" s="13"/>
      <c r="I280" s="12"/>
      <c r="J280" s="12"/>
      <c r="K280" s="13"/>
      <c r="L280" s="12"/>
      <c r="M280" s="12"/>
      <c r="N280" s="13"/>
      <c r="O280" s="12"/>
      <c r="P280" s="12"/>
      <c r="Q280" s="13"/>
      <c r="R280" s="13"/>
      <c r="S280" s="13"/>
      <c r="T280" s="13"/>
      <c r="U280" s="13"/>
      <c r="V280" s="13"/>
      <c r="W280" s="13"/>
      <c r="X280" s="13"/>
    </row>
    <row r="281" spans="2:24" customFormat="1" x14ac:dyDescent="0.3">
      <c r="B281" s="14"/>
      <c r="C281" s="12"/>
      <c r="D281" s="12"/>
      <c r="E281" s="13"/>
      <c r="F281" s="12"/>
      <c r="G281" s="12"/>
      <c r="H281" s="13"/>
      <c r="I281" s="12"/>
      <c r="J281" s="12"/>
      <c r="K281" s="13"/>
      <c r="L281" s="12"/>
      <c r="M281" s="12"/>
      <c r="N281" s="13"/>
      <c r="O281" s="12"/>
      <c r="P281" s="12"/>
      <c r="Q281" s="13"/>
      <c r="R281" s="13"/>
      <c r="S281" s="13"/>
      <c r="T281" s="13"/>
      <c r="U281" s="13"/>
      <c r="V281" s="13"/>
      <c r="W281" s="13"/>
      <c r="X281" s="13"/>
    </row>
    <row r="282" spans="2:24" customFormat="1" x14ac:dyDescent="0.3">
      <c r="B282" s="14"/>
      <c r="C282" s="12"/>
      <c r="D282" s="12"/>
      <c r="E282" s="13"/>
      <c r="F282" s="12"/>
      <c r="G282" s="12"/>
      <c r="H282" s="13"/>
      <c r="I282" s="12"/>
      <c r="J282" s="12"/>
      <c r="K282" s="13"/>
      <c r="L282" s="12"/>
      <c r="M282" s="12"/>
      <c r="N282" s="13"/>
      <c r="O282" s="12"/>
      <c r="P282" s="12"/>
      <c r="Q282" s="13"/>
      <c r="R282" s="13"/>
      <c r="S282" s="13"/>
      <c r="T282" s="13"/>
      <c r="U282" s="13"/>
      <c r="V282" s="13"/>
      <c r="W282" s="13"/>
      <c r="X282" s="13"/>
    </row>
    <row r="283" spans="2:24" customFormat="1" x14ac:dyDescent="0.3">
      <c r="B283" s="14"/>
      <c r="C283" s="12"/>
      <c r="D283" s="12"/>
      <c r="E283" s="13"/>
      <c r="F283" s="12"/>
      <c r="G283" s="12"/>
      <c r="H283" s="13"/>
      <c r="I283" s="12"/>
      <c r="J283" s="12"/>
      <c r="K283" s="13"/>
      <c r="L283" s="12"/>
      <c r="M283" s="12"/>
      <c r="N283" s="13"/>
      <c r="O283" s="12"/>
      <c r="P283" s="12"/>
      <c r="Q283" s="13"/>
      <c r="R283" s="13"/>
      <c r="S283" s="13"/>
      <c r="T283" s="13"/>
      <c r="U283" s="13"/>
      <c r="V283" s="13"/>
      <c r="W283" s="13"/>
      <c r="X283" s="13"/>
    </row>
    <row r="284" spans="2:24" customFormat="1" x14ac:dyDescent="0.3">
      <c r="B284" s="14"/>
      <c r="C284" s="12"/>
      <c r="D284" s="12"/>
      <c r="E284" s="13"/>
      <c r="F284" s="12"/>
      <c r="G284" s="12"/>
      <c r="H284" s="13"/>
      <c r="I284" s="12"/>
      <c r="J284" s="12"/>
      <c r="K284" s="13"/>
      <c r="L284" s="12"/>
      <c r="M284" s="12"/>
      <c r="N284" s="13"/>
      <c r="O284" s="12"/>
      <c r="P284" s="12"/>
      <c r="Q284" s="13"/>
      <c r="R284" s="13"/>
      <c r="S284" s="13"/>
      <c r="T284" s="13"/>
      <c r="U284" s="13"/>
      <c r="V284" s="13"/>
      <c r="W284" s="13"/>
      <c r="X284" s="13"/>
    </row>
    <row r="285" spans="2:24" customFormat="1" x14ac:dyDescent="0.3">
      <c r="B285" s="14"/>
      <c r="C285" s="12"/>
      <c r="D285" s="12"/>
      <c r="E285" s="13"/>
      <c r="F285" s="12"/>
      <c r="G285" s="12"/>
      <c r="H285" s="13"/>
      <c r="I285" s="12"/>
      <c r="J285" s="12"/>
      <c r="K285" s="13"/>
      <c r="L285" s="12"/>
      <c r="M285" s="12"/>
      <c r="N285" s="13"/>
      <c r="O285" s="12"/>
      <c r="P285" s="12"/>
      <c r="Q285" s="13"/>
      <c r="R285" s="13"/>
      <c r="S285" s="13"/>
      <c r="T285" s="13"/>
      <c r="U285" s="13"/>
      <c r="V285" s="13"/>
      <c r="W285" s="13"/>
      <c r="X285" s="13"/>
    </row>
    <row r="286" spans="2:24" customFormat="1" x14ac:dyDescent="0.3">
      <c r="B286" s="14"/>
      <c r="C286" s="12"/>
      <c r="D286" s="12"/>
      <c r="E286" s="13"/>
      <c r="F286" s="12"/>
      <c r="G286" s="12"/>
      <c r="H286" s="13"/>
      <c r="I286" s="12"/>
      <c r="J286" s="12"/>
      <c r="K286" s="13"/>
      <c r="L286" s="12"/>
      <c r="M286" s="12"/>
      <c r="N286" s="13"/>
      <c r="O286" s="12"/>
      <c r="P286" s="12"/>
      <c r="Q286" s="13"/>
      <c r="R286" s="13"/>
      <c r="S286" s="13"/>
      <c r="T286" s="13"/>
      <c r="U286" s="13"/>
      <c r="V286" s="13"/>
      <c r="W286" s="13"/>
      <c r="X286" s="13"/>
    </row>
    <row r="287" spans="2:24" customFormat="1" x14ac:dyDescent="0.3">
      <c r="B287" s="14"/>
      <c r="C287" s="12"/>
      <c r="D287" s="12"/>
      <c r="E287" s="13"/>
      <c r="F287" s="12"/>
      <c r="G287" s="12"/>
      <c r="H287" s="13"/>
      <c r="I287" s="12"/>
      <c r="J287" s="12"/>
      <c r="K287" s="13"/>
      <c r="L287" s="12"/>
      <c r="M287" s="12"/>
      <c r="N287" s="13"/>
      <c r="O287" s="12"/>
      <c r="P287" s="12"/>
      <c r="Q287" s="13"/>
      <c r="R287" s="13"/>
      <c r="S287" s="13"/>
      <c r="T287" s="13"/>
      <c r="U287" s="13"/>
      <c r="V287" s="13"/>
      <c r="W287" s="13"/>
      <c r="X287" s="13"/>
    </row>
    <row r="288" spans="2:24" customFormat="1" x14ac:dyDescent="0.3">
      <c r="B288" s="14"/>
      <c r="C288" s="12"/>
      <c r="D288" s="12"/>
      <c r="E288" s="13"/>
      <c r="F288" s="12"/>
      <c r="G288" s="12"/>
      <c r="H288" s="13"/>
      <c r="I288" s="12"/>
      <c r="J288" s="12"/>
      <c r="K288" s="13"/>
      <c r="L288" s="12"/>
      <c r="M288" s="12"/>
      <c r="N288" s="13"/>
      <c r="O288" s="12"/>
      <c r="P288" s="12"/>
      <c r="Q288" s="13"/>
      <c r="R288" s="13"/>
      <c r="S288" s="13"/>
      <c r="T288" s="13"/>
      <c r="U288" s="13"/>
      <c r="V288" s="13"/>
      <c r="W288" s="13"/>
      <c r="X288" s="13"/>
    </row>
    <row r="289" spans="2:24" customFormat="1" x14ac:dyDescent="0.3">
      <c r="B289" s="14"/>
      <c r="C289" s="12"/>
      <c r="D289" s="12"/>
      <c r="E289" s="13"/>
      <c r="F289" s="12"/>
      <c r="G289" s="12"/>
      <c r="H289" s="13"/>
      <c r="I289" s="12"/>
      <c r="J289" s="12"/>
      <c r="K289" s="13"/>
      <c r="L289" s="12"/>
      <c r="M289" s="12"/>
      <c r="N289" s="13"/>
      <c r="O289" s="12"/>
      <c r="P289" s="12"/>
      <c r="Q289" s="13"/>
      <c r="R289" s="13"/>
      <c r="S289" s="13"/>
      <c r="T289" s="13"/>
      <c r="U289" s="13"/>
      <c r="V289" s="13"/>
      <c r="W289" s="13"/>
      <c r="X289" s="13"/>
    </row>
    <row r="290" spans="2:24" customFormat="1" x14ac:dyDescent="0.3">
      <c r="B290" s="14"/>
      <c r="C290" s="12"/>
      <c r="D290" s="12"/>
      <c r="E290" s="13"/>
      <c r="F290" s="12"/>
      <c r="G290" s="12"/>
      <c r="H290" s="13"/>
      <c r="I290" s="12"/>
      <c r="J290" s="12"/>
      <c r="K290" s="13"/>
      <c r="L290" s="12"/>
      <c r="M290" s="12"/>
      <c r="N290" s="13"/>
      <c r="O290" s="12"/>
      <c r="P290" s="12"/>
      <c r="Q290" s="13"/>
      <c r="R290" s="13"/>
      <c r="S290" s="13"/>
      <c r="T290" s="13"/>
      <c r="U290" s="13"/>
      <c r="V290" s="13"/>
      <c r="W290" s="13"/>
      <c r="X290" s="13"/>
    </row>
    <row r="291" spans="2:24" customFormat="1" x14ac:dyDescent="0.3">
      <c r="B291" s="14"/>
      <c r="C291" s="12"/>
      <c r="D291" s="12"/>
      <c r="E291" s="13"/>
      <c r="F291" s="12"/>
      <c r="G291" s="12"/>
      <c r="H291" s="13"/>
      <c r="I291" s="12"/>
      <c r="J291" s="12"/>
      <c r="K291" s="13"/>
      <c r="L291" s="12"/>
      <c r="M291" s="12"/>
      <c r="N291" s="13"/>
      <c r="O291" s="12"/>
      <c r="P291" s="12"/>
      <c r="Q291" s="13"/>
      <c r="R291" s="13"/>
      <c r="S291" s="13"/>
      <c r="T291" s="13"/>
      <c r="U291" s="13"/>
      <c r="V291" s="13"/>
      <c r="W291" s="13"/>
      <c r="X291" s="13"/>
    </row>
    <row r="292" spans="2:24" customFormat="1" x14ac:dyDescent="0.3">
      <c r="B292" s="14"/>
      <c r="C292" s="12"/>
      <c r="D292" s="12"/>
      <c r="E292" s="13"/>
      <c r="F292" s="12"/>
      <c r="G292" s="12"/>
      <c r="H292" s="13"/>
      <c r="I292" s="12"/>
      <c r="J292" s="12"/>
      <c r="K292" s="13"/>
      <c r="L292" s="12"/>
      <c r="M292" s="12"/>
      <c r="N292" s="13"/>
      <c r="O292" s="12"/>
      <c r="P292" s="12"/>
      <c r="Q292" s="13"/>
      <c r="R292" s="13"/>
      <c r="S292" s="13"/>
      <c r="T292" s="13"/>
      <c r="U292" s="13"/>
      <c r="V292" s="13"/>
      <c r="W292" s="13"/>
      <c r="X292" s="13"/>
    </row>
    <row r="293" spans="2:24" customFormat="1" x14ac:dyDescent="0.3">
      <c r="B293" s="14"/>
      <c r="C293" s="12"/>
      <c r="D293" s="12"/>
      <c r="E293" s="13"/>
      <c r="F293" s="12"/>
      <c r="G293" s="12"/>
      <c r="H293" s="13"/>
      <c r="I293" s="12"/>
      <c r="J293" s="12"/>
      <c r="K293" s="13"/>
      <c r="L293" s="12"/>
      <c r="M293" s="12"/>
      <c r="N293" s="13"/>
      <c r="O293" s="12"/>
      <c r="P293" s="12"/>
      <c r="Q293" s="13"/>
      <c r="R293" s="13"/>
      <c r="S293" s="13"/>
      <c r="T293" s="13"/>
      <c r="U293" s="13"/>
      <c r="V293" s="13"/>
      <c r="W293" s="13"/>
      <c r="X293" s="13"/>
    </row>
    <row r="294" spans="2:24" customFormat="1" x14ac:dyDescent="0.3">
      <c r="B294" s="14"/>
      <c r="C294" s="12"/>
      <c r="D294" s="12"/>
      <c r="E294" s="13"/>
      <c r="F294" s="12"/>
      <c r="G294" s="12"/>
      <c r="H294" s="13"/>
      <c r="I294" s="12"/>
      <c r="J294" s="12"/>
      <c r="K294" s="13"/>
      <c r="L294" s="12"/>
      <c r="M294" s="12"/>
      <c r="N294" s="13"/>
      <c r="O294" s="12"/>
      <c r="P294" s="12"/>
      <c r="Q294" s="13"/>
      <c r="R294" s="13"/>
      <c r="S294" s="13"/>
      <c r="T294" s="13"/>
      <c r="U294" s="13"/>
      <c r="V294" s="13"/>
      <c r="W294" s="13"/>
      <c r="X294" s="13"/>
    </row>
    <row r="295" spans="2:24" customFormat="1" x14ac:dyDescent="0.3">
      <c r="B295" s="14"/>
      <c r="C295" s="12"/>
      <c r="D295" s="12"/>
      <c r="E295" s="13"/>
      <c r="F295" s="12"/>
      <c r="G295" s="12"/>
      <c r="H295" s="13"/>
      <c r="I295" s="12"/>
      <c r="J295" s="12"/>
      <c r="K295" s="13"/>
      <c r="L295" s="12"/>
      <c r="M295" s="12"/>
      <c r="N295" s="13"/>
      <c r="O295" s="12"/>
      <c r="P295" s="12"/>
      <c r="Q295" s="13"/>
      <c r="R295" s="13"/>
      <c r="S295" s="13"/>
      <c r="T295" s="13"/>
      <c r="U295" s="13"/>
      <c r="V295" s="13"/>
      <c r="W295" s="13"/>
      <c r="X295" s="13"/>
    </row>
    <row r="296" spans="2:24" customFormat="1" x14ac:dyDescent="0.3">
      <c r="B296" s="14"/>
      <c r="C296" s="12"/>
      <c r="D296" s="12"/>
      <c r="E296" s="13"/>
      <c r="F296" s="12"/>
      <c r="G296" s="12"/>
      <c r="H296" s="13"/>
      <c r="I296" s="12"/>
      <c r="J296" s="12"/>
      <c r="K296" s="13"/>
      <c r="L296" s="12"/>
      <c r="M296" s="12"/>
      <c r="N296" s="13"/>
      <c r="O296" s="12"/>
      <c r="P296" s="12"/>
      <c r="Q296" s="13"/>
      <c r="R296" s="13"/>
      <c r="S296" s="13"/>
      <c r="T296" s="13"/>
      <c r="U296" s="13"/>
      <c r="V296" s="13"/>
      <c r="W296" s="13"/>
      <c r="X296" s="13"/>
    </row>
    <row r="297" spans="2:24" customFormat="1" x14ac:dyDescent="0.3">
      <c r="B297" s="14"/>
      <c r="C297" s="12"/>
      <c r="D297" s="12"/>
      <c r="E297" s="13"/>
      <c r="F297" s="12"/>
      <c r="G297" s="12"/>
      <c r="H297" s="13"/>
      <c r="I297" s="12"/>
      <c r="J297" s="12"/>
      <c r="K297" s="13"/>
      <c r="L297" s="12"/>
      <c r="M297" s="12"/>
      <c r="N297" s="13"/>
      <c r="O297" s="12"/>
      <c r="P297" s="12"/>
      <c r="Q297" s="13"/>
      <c r="R297" s="13"/>
      <c r="S297" s="13"/>
      <c r="T297" s="13"/>
      <c r="U297" s="13"/>
      <c r="V297" s="13"/>
      <c r="W297" s="13"/>
      <c r="X297" s="13"/>
    </row>
    <row r="298" spans="2:24" customFormat="1" x14ac:dyDescent="0.3">
      <c r="B298" s="14"/>
      <c r="C298" s="12"/>
      <c r="D298" s="12"/>
      <c r="E298" s="13"/>
      <c r="F298" s="12"/>
      <c r="G298" s="12"/>
      <c r="H298" s="13"/>
      <c r="I298" s="12"/>
      <c r="J298" s="12"/>
      <c r="K298" s="13"/>
      <c r="L298" s="12"/>
      <c r="M298" s="12"/>
      <c r="N298" s="13"/>
      <c r="O298" s="12"/>
      <c r="P298" s="12"/>
      <c r="Q298" s="13"/>
      <c r="R298" s="13"/>
      <c r="S298" s="13"/>
      <c r="T298" s="13"/>
      <c r="U298" s="13"/>
      <c r="V298" s="13"/>
      <c r="W298" s="13"/>
      <c r="X298" s="13"/>
    </row>
    <row r="299" spans="2:24" customFormat="1" x14ac:dyDescent="0.3">
      <c r="B299" s="14"/>
      <c r="C299" s="12"/>
      <c r="D299" s="12"/>
      <c r="E299" s="13"/>
      <c r="F299" s="12"/>
      <c r="G299" s="12"/>
      <c r="H299" s="13"/>
      <c r="I299" s="12"/>
      <c r="J299" s="12"/>
      <c r="K299" s="13"/>
      <c r="L299" s="12"/>
      <c r="M299" s="12"/>
      <c r="N299" s="13"/>
      <c r="O299" s="12"/>
      <c r="P299" s="12"/>
      <c r="Q299" s="13"/>
      <c r="R299" s="13"/>
      <c r="S299" s="13"/>
      <c r="T299" s="13"/>
      <c r="U299" s="13"/>
      <c r="V299" s="13"/>
      <c r="W299" s="13"/>
      <c r="X299" s="13"/>
    </row>
    <row r="300" spans="2:24" customFormat="1" x14ac:dyDescent="0.3">
      <c r="B300" s="14"/>
      <c r="C300" s="12"/>
      <c r="D300" s="12"/>
      <c r="E300" s="13"/>
      <c r="F300" s="12"/>
      <c r="G300" s="12"/>
      <c r="H300" s="13"/>
      <c r="I300" s="12"/>
      <c r="J300" s="12"/>
      <c r="K300" s="13"/>
      <c r="L300" s="12"/>
      <c r="M300" s="12"/>
      <c r="N300" s="13"/>
      <c r="O300" s="12"/>
      <c r="P300" s="12"/>
      <c r="Q300" s="13"/>
      <c r="R300" s="13"/>
      <c r="S300" s="13"/>
      <c r="T300" s="13"/>
      <c r="U300" s="13"/>
      <c r="V300" s="13"/>
      <c r="W300" s="13"/>
      <c r="X300" s="13"/>
    </row>
    <row r="301" spans="2:24" customFormat="1" x14ac:dyDescent="0.3">
      <c r="B301" s="14"/>
      <c r="C301" s="12"/>
      <c r="D301" s="12"/>
      <c r="E301" s="13"/>
      <c r="F301" s="12"/>
      <c r="G301" s="12"/>
      <c r="H301" s="13"/>
      <c r="I301" s="12"/>
      <c r="J301" s="12"/>
      <c r="K301" s="13"/>
      <c r="L301" s="12"/>
      <c r="M301" s="12"/>
      <c r="N301" s="13"/>
      <c r="O301" s="12"/>
      <c r="P301" s="12"/>
      <c r="Q301" s="13"/>
      <c r="R301" s="13"/>
      <c r="S301" s="13"/>
      <c r="T301" s="13"/>
      <c r="U301" s="13"/>
      <c r="V301" s="13"/>
      <c r="W301" s="13"/>
      <c r="X301" s="13"/>
    </row>
    <row r="302" spans="2:24" customFormat="1" x14ac:dyDescent="0.3">
      <c r="B302" s="14"/>
      <c r="C302" s="12"/>
      <c r="D302" s="12"/>
      <c r="E302" s="13"/>
      <c r="F302" s="12"/>
      <c r="G302" s="12"/>
      <c r="H302" s="13"/>
      <c r="I302" s="12"/>
      <c r="J302" s="12"/>
      <c r="K302" s="13"/>
      <c r="L302" s="12"/>
      <c r="M302" s="12"/>
      <c r="N302" s="13"/>
      <c r="O302" s="12"/>
      <c r="P302" s="12"/>
      <c r="Q302" s="13"/>
      <c r="R302" s="13"/>
      <c r="S302" s="13"/>
      <c r="T302" s="13"/>
      <c r="U302" s="13"/>
      <c r="V302" s="13"/>
      <c r="W302" s="13"/>
      <c r="X302" s="13"/>
    </row>
    <row r="303" spans="2:24" customFormat="1" x14ac:dyDescent="0.3">
      <c r="B303" s="5"/>
      <c r="C303" s="7"/>
      <c r="D303" s="7"/>
      <c r="F303" s="7"/>
      <c r="G303" s="7"/>
      <c r="I303" s="7"/>
      <c r="J303" s="7"/>
      <c r="L303" s="12"/>
      <c r="M303" s="12"/>
      <c r="N303" s="13"/>
      <c r="O303" s="12"/>
      <c r="P303" s="12"/>
      <c r="Q303" s="13"/>
      <c r="R303" s="13"/>
      <c r="S303" s="13"/>
      <c r="T303" s="13"/>
      <c r="U303" s="13"/>
      <c r="V303" s="13"/>
      <c r="W303" s="13"/>
      <c r="X303" s="13"/>
    </row>
  </sheetData>
  <mergeCells count="11">
    <mergeCell ref="L1:N1"/>
    <mergeCell ref="O1:Q1"/>
    <mergeCell ref="O2:Q2"/>
    <mergeCell ref="L2:N2"/>
    <mergeCell ref="R1:T1"/>
    <mergeCell ref="C1:E1"/>
    <mergeCell ref="C2:E2"/>
    <mergeCell ref="F1:H1"/>
    <mergeCell ref="F2:H2"/>
    <mergeCell ref="I1:K1"/>
    <mergeCell ref="I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2581-648F-4325-96B7-DC543E19C8A2}">
  <dimension ref="A1:I290"/>
  <sheetViews>
    <sheetView tabSelected="1" zoomScale="85" zoomScaleNormal="85" workbookViewId="0">
      <selection activeCell="G24" sqref="G24"/>
    </sheetView>
  </sheetViews>
  <sheetFormatPr defaultColWidth="12.3984375" defaultRowHeight="14.4" x14ac:dyDescent="0.3"/>
  <cols>
    <col min="1" max="1" width="3.09765625" style="5" bestFit="1" customWidth="1"/>
    <col min="2" max="2" width="11" style="5" bestFit="1" customWidth="1"/>
    <col min="3" max="3" width="8.3984375" bestFit="1" customWidth="1"/>
    <col min="4" max="4" width="7.8984375" bestFit="1" customWidth="1"/>
    <col min="5" max="5" width="7.3984375" bestFit="1" customWidth="1"/>
    <col min="6" max="7" width="9.69921875" bestFit="1" customWidth="1"/>
    <col min="8" max="8" width="12.69921875" customWidth="1"/>
    <col min="9" max="9" width="8.59765625" style="22" bestFit="1" customWidth="1"/>
  </cols>
  <sheetData>
    <row r="1" spans="1:9" s="8" customFormat="1" x14ac:dyDescent="0.3">
      <c r="C1" s="23" t="s">
        <v>44</v>
      </c>
      <c r="D1" s="23" t="s">
        <v>45</v>
      </c>
      <c r="E1" s="24" t="s">
        <v>46</v>
      </c>
      <c r="F1" s="23" t="s">
        <v>47</v>
      </c>
      <c r="G1" s="23" t="s">
        <v>47</v>
      </c>
      <c r="H1" s="24" t="s">
        <v>48</v>
      </c>
      <c r="I1" s="23" t="s">
        <v>49</v>
      </c>
    </row>
    <row r="2" spans="1:9" x14ac:dyDescent="0.3">
      <c r="A2" s="8">
        <v>11</v>
      </c>
      <c r="B2" s="8" t="s">
        <v>29</v>
      </c>
      <c r="C2" s="25">
        <v>223.51666666666665</v>
      </c>
      <c r="D2" s="25">
        <v>74.816666666666677</v>
      </c>
      <c r="E2" s="25">
        <v>166.65</v>
      </c>
      <c r="F2" s="25">
        <v>110.20333333333333</v>
      </c>
      <c r="G2" s="25">
        <v>34.146666666666668</v>
      </c>
      <c r="H2" s="25">
        <v>96.038947368421077</v>
      </c>
      <c r="I2" s="25">
        <v>31.170666666666669</v>
      </c>
    </row>
    <row r="3" spans="1:9" x14ac:dyDescent="0.3">
      <c r="A3" s="8">
        <v>12</v>
      </c>
      <c r="B3" s="8" t="s">
        <v>30</v>
      </c>
      <c r="C3" s="25">
        <v>304.47999999999996</v>
      </c>
      <c r="D3" s="25">
        <v>135.54333333333332</v>
      </c>
      <c r="E3" s="25">
        <v>486.88333333333338</v>
      </c>
      <c r="F3" s="25">
        <v>178.38333333333335</v>
      </c>
      <c r="G3" s="25">
        <v>80.256666666666661</v>
      </c>
      <c r="H3" s="25">
        <v>92.856315789473669</v>
      </c>
      <c r="I3" s="25">
        <v>29.229375000000001</v>
      </c>
    </row>
    <row r="4" spans="1:9" x14ac:dyDescent="0.3">
      <c r="A4" s="8">
        <v>1</v>
      </c>
      <c r="B4" s="8" t="s">
        <v>31</v>
      </c>
      <c r="C4" s="25">
        <v>498.74666666666667</v>
      </c>
      <c r="D4" s="25">
        <v>282.20333333333332</v>
      </c>
      <c r="E4" s="25">
        <v>272.88333333333333</v>
      </c>
      <c r="F4" s="25">
        <v>375.49</v>
      </c>
      <c r="G4" s="25">
        <v>237.80333333333337</v>
      </c>
      <c r="H4" s="25">
        <v>126.33499999999998</v>
      </c>
      <c r="I4" s="25">
        <v>30.8</v>
      </c>
    </row>
    <row r="5" spans="1:9" x14ac:dyDescent="0.3">
      <c r="A5" s="8">
        <v>2</v>
      </c>
      <c r="B5" s="8" t="s">
        <v>32</v>
      </c>
      <c r="C5" s="25">
        <v>881.35666666666657</v>
      </c>
      <c r="D5" s="25">
        <v>563.65</v>
      </c>
      <c r="E5" s="25">
        <v>383.04333333333335</v>
      </c>
      <c r="F5" s="25">
        <v>564.73</v>
      </c>
      <c r="G5" s="25">
        <v>412.08666666666664</v>
      </c>
      <c r="H5" s="25">
        <v>134.9257894736842</v>
      </c>
      <c r="I5" s="25">
        <v>33.1875</v>
      </c>
    </row>
    <row r="6" spans="1:9" x14ac:dyDescent="0.3">
      <c r="A6" s="8">
        <v>3</v>
      </c>
      <c r="B6" s="8" t="s">
        <v>33</v>
      </c>
      <c r="C6" s="25">
        <v>2310.4266666666667</v>
      </c>
      <c r="D6" s="25">
        <v>550.74666666666667</v>
      </c>
      <c r="E6" s="25">
        <v>168.94333333333336</v>
      </c>
      <c r="F6" s="25">
        <v>613.9</v>
      </c>
      <c r="G6" s="25">
        <v>434.34333333333342</v>
      </c>
      <c r="H6" s="25">
        <v>138.05736842105264</v>
      </c>
      <c r="I6" s="25">
        <v>37.004666666666672</v>
      </c>
    </row>
    <row r="7" spans="1:9" x14ac:dyDescent="0.3">
      <c r="A7" s="8">
        <v>4</v>
      </c>
      <c r="B7" s="8" t="s">
        <v>34</v>
      </c>
      <c r="C7" s="25">
        <v>3677.08</v>
      </c>
      <c r="D7" s="25">
        <v>561.3366666666667</v>
      </c>
      <c r="E7" s="25">
        <v>93.81</v>
      </c>
      <c r="F7" s="25">
        <v>560.20666666666671</v>
      </c>
      <c r="G7" s="25">
        <v>406.36666666666662</v>
      </c>
      <c r="H7" s="25">
        <v>198.27052631578945</v>
      </c>
      <c r="I7" s="25">
        <v>37.96</v>
      </c>
    </row>
    <row r="8" spans="1:9" x14ac:dyDescent="0.3">
      <c r="A8" s="8">
        <v>5</v>
      </c>
      <c r="B8" s="8" t="s">
        <v>35</v>
      </c>
      <c r="C8" s="25">
        <v>2982.34</v>
      </c>
      <c r="D8" s="25">
        <v>315.71000000000004</v>
      </c>
      <c r="E8" s="25">
        <v>56.944999999999993</v>
      </c>
      <c r="F8" s="25">
        <v>406.39</v>
      </c>
      <c r="G8" s="25">
        <v>244.495</v>
      </c>
      <c r="H8" s="25">
        <v>223.628947368421</v>
      </c>
      <c r="I8" s="25">
        <v>38.770000000000003</v>
      </c>
    </row>
    <row r="9" spans="1:9" x14ac:dyDescent="0.3">
      <c r="A9" s="8">
        <v>6</v>
      </c>
      <c r="B9" s="8" t="s">
        <v>36</v>
      </c>
      <c r="C9" s="25">
        <v>1591.94</v>
      </c>
      <c r="D9" s="25">
        <v>170.125</v>
      </c>
      <c r="E9" s="25">
        <v>35.340000000000003</v>
      </c>
      <c r="F9" s="25">
        <v>288.80999999999995</v>
      </c>
      <c r="G9" s="25">
        <v>130.65</v>
      </c>
      <c r="H9" s="25">
        <v>179.35777777777776</v>
      </c>
      <c r="I9" s="25">
        <v>40.809285714285714</v>
      </c>
    </row>
    <row r="10" spans="1:9" x14ac:dyDescent="0.3">
      <c r="A10" s="8">
        <v>7</v>
      </c>
      <c r="B10" s="8" t="s">
        <v>37</v>
      </c>
      <c r="C10" s="25">
        <v>678.31500000000005</v>
      </c>
      <c r="D10" s="25">
        <v>140.42500000000001</v>
      </c>
      <c r="E10" s="25">
        <v>19.55</v>
      </c>
      <c r="F10" s="25">
        <v>218.16</v>
      </c>
      <c r="G10" s="25">
        <v>94.224999999999994</v>
      </c>
      <c r="H10" s="25">
        <v>141.94888888888892</v>
      </c>
      <c r="I10" s="25">
        <v>43.05</v>
      </c>
    </row>
    <row r="11" spans="1:9" x14ac:dyDescent="0.3">
      <c r="A11" s="8">
        <v>8</v>
      </c>
      <c r="B11" s="8" t="s">
        <v>38</v>
      </c>
      <c r="C11" s="25">
        <v>377.72</v>
      </c>
      <c r="D11" s="25">
        <v>115.815</v>
      </c>
      <c r="E11" s="25">
        <v>54.67</v>
      </c>
      <c r="F11" s="25">
        <v>177.065</v>
      </c>
      <c r="G11" s="25">
        <v>74.349999999999994</v>
      </c>
      <c r="H11" s="25">
        <v>118.48611111111111</v>
      </c>
      <c r="I11" s="25">
        <v>45.191428571428567</v>
      </c>
    </row>
    <row r="12" spans="1:9" x14ac:dyDescent="0.3">
      <c r="A12" s="8">
        <v>9</v>
      </c>
      <c r="B12" s="8" t="s">
        <v>39</v>
      </c>
      <c r="C12" s="25">
        <v>280.34333333333336</v>
      </c>
      <c r="D12" s="25">
        <v>88.833333333333329</v>
      </c>
      <c r="E12" s="25">
        <v>274.61333333333334</v>
      </c>
      <c r="F12" s="25">
        <v>153.02333333333331</v>
      </c>
      <c r="G12" s="25">
        <v>57.669999999999995</v>
      </c>
      <c r="H12" s="25">
        <v>108.505</v>
      </c>
      <c r="I12" s="25">
        <v>44.037692307692296</v>
      </c>
    </row>
    <row r="13" spans="1:9" x14ac:dyDescent="0.3">
      <c r="A13" s="8">
        <v>10</v>
      </c>
      <c r="B13" s="8" t="s">
        <v>40</v>
      </c>
      <c r="C13" s="25">
        <v>219.66</v>
      </c>
      <c r="D13" s="25">
        <v>56.18</v>
      </c>
      <c r="E13" s="25">
        <v>217.89333333333332</v>
      </c>
      <c r="F13" s="25">
        <v>120.19</v>
      </c>
      <c r="G13" s="25">
        <v>39</v>
      </c>
      <c r="H13" s="25">
        <v>99.505789473684189</v>
      </c>
      <c r="I13" s="25">
        <v>38.246428571428574</v>
      </c>
    </row>
    <row r="14" spans="1:9" x14ac:dyDescent="0.3">
      <c r="A14" s="8">
        <v>11</v>
      </c>
      <c r="B14" s="8" t="s">
        <v>29</v>
      </c>
      <c r="C14" s="25">
        <v>223.51666666666665</v>
      </c>
      <c r="D14" s="25">
        <v>74.816666666666677</v>
      </c>
      <c r="E14" s="25">
        <v>166.65</v>
      </c>
      <c r="F14" s="25">
        <v>110.20333333333333</v>
      </c>
      <c r="G14" s="25">
        <v>34.146666666666668</v>
      </c>
      <c r="H14" s="25">
        <v>96.038947368421077</v>
      </c>
      <c r="I14" s="25">
        <v>31.170666666666669</v>
      </c>
    </row>
    <row r="15" spans="1:9" x14ac:dyDescent="0.3">
      <c r="A15" s="8">
        <v>12</v>
      </c>
      <c r="B15" s="8" t="s">
        <v>30</v>
      </c>
      <c r="C15" s="25">
        <v>304.47999999999996</v>
      </c>
      <c r="D15" s="25">
        <v>135.54333333333332</v>
      </c>
      <c r="E15" s="25">
        <v>486.88333333333338</v>
      </c>
      <c r="F15" s="25">
        <v>178.38333333333335</v>
      </c>
      <c r="G15" s="25">
        <v>80.256666666666661</v>
      </c>
      <c r="H15" s="25">
        <v>92.856315789473669</v>
      </c>
      <c r="I15" s="25">
        <v>29.229375000000001</v>
      </c>
    </row>
    <row r="16" spans="1:9" x14ac:dyDescent="0.3">
      <c r="A16" s="8">
        <v>1</v>
      </c>
      <c r="B16" s="8" t="s">
        <v>31</v>
      </c>
      <c r="C16" s="25">
        <v>498.74666666666667</v>
      </c>
      <c r="D16" s="25">
        <v>282.20333333333332</v>
      </c>
      <c r="E16" s="25">
        <v>272.88333333333333</v>
      </c>
      <c r="F16" s="25">
        <v>375.49</v>
      </c>
      <c r="G16" s="25">
        <v>237.80333333333337</v>
      </c>
      <c r="H16" s="25">
        <v>126.33499999999998</v>
      </c>
      <c r="I16" s="25">
        <v>30.8</v>
      </c>
    </row>
    <row r="17" spans="1:9" x14ac:dyDescent="0.3">
      <c r="A17" s="8">
        <v>2</v>
      </c>
      <c r="B17" s="8" t="s">
        <v>32</v>
      </c>
      <c r="C17" s="25">
        <v>881.35666666666657</v>
      </c>
      <c r="D17" s="25">
        <v>563.65</v>
      </c>
      <c r="E17" s="25">
        <v>383.04333333333335</v>
      </c>
      <c r="F17" s="25">
        <v>564.73</v>
      </c>
      <c r="G17" s="25">
        <v>412.08666666666664</v>
      </c>
      <c r="H17" s="25">
        <v>134.9257894736842</v>
      </c>
      <c r="I17" s="25">
        <v>33.1875</v>
      </c>
    </row>
    <row r="18" spans="1:9" x14ac:dyDescent="0.3">
      <c r="A18" s="8">
        <v>3</v>
      </c>
      <c r="B18" s="8" t="s">
        <v>33</v>
      </c>
      <c r="C18" s="25">
        <v>2310.4266666666667</v>
      </c>
      <c r="D18" s="25">
        <v>550.74666666666667</v>
      </c>
      <c r="E18" s="25">
        <v>168.94333333333336</v>
      </c>
      <c r="F18" s="25">
        <v>613.9</v>
      </c>
      <c r="G18" s="25">
        <v>434.34333333333342</v>
      </c>
      <c r="H18" s="25">
        <v>138.05736842105264</v>
      </c>
      <c r="I18" s="25">
        <v>37.004666666666672</v>
      </c>
    </row>
    <row r="19" spans="1:9" x14ac:dyDescent="0.3">
      <c r="A19" s="8">
        <v>4</v>
      </c>
      <c r="B19" s="8" t="s">
        <v>34</v>
      </c>
      <c r="C19" s="25">
        <v>3677.08</v>
      </c>
      <c r="D19" s="25">
        <v>561.3366666666667</v>
      </c>
      <c r="E19" s="25">
        <v>93.81</v>
      </c>
      <c r="F19" s="25">
        <v>560.20666666666671</v>
      </c>
      <c r="G19" s="25">
        <v>406.36666666666662</v>
      </c>
      <c r="H19" s="25">
        <v>198.27052631578945</v>
      </c>
      <c r="I19" s="25">
        <v>37.96</v>
      </c>
    </row>
    <row r="20" spans="1:9" x14ac:dyDescent="0.3">
      <c r="A20" s="8">
        <v>5</v>
      </c>
      <c r="B20" s="8" t="s">
        <v>35</v>
      </c>
      <c r="C20" s="25">
        <v>2982.34</v>
      </c>
      <c r="D20" s="25">
        <v>315.71000000000004</v>
      </c>
      <c r="E20" s="25">
        <v>56.944999999999993</v>
      </c>
      <c r="F20" s="25">
        <v>406.39</v>
      </c>
      <c r="G20" s="25">
        <v>244.495</v>
      </c>
      <c r="H20" s="25">
        <v>223.628947368421</v>
      </c>
      <c r="I20" s="25">
        <v>38.770000000000003</v>
      </c>
    </row>
    <row r="21" spans="1:9" x14ac:dyDescent="0.3">
      <c r="A21" s="8">
        <v>6</v>
      </c>
      <c r="B21" s="8" t="s">
        <v>36</v>
      </c>
      <c r="C21" s="25">
        <v>1591.94</v>
      </c>
      <c r="D21" s="25">
        <v>170.125</v>
      </c>
      <c r="E21" s="25">
        <v>35.340000000000003</v>
      </c>
      <c r="F21" s="25">
        <v>288.80999999999995</v>
      </c>
      <c r="G21" s="25">
        <v>130.65</v>
      </c>
      <c r="H21" s="25">
        <v>179.35777777777776</v>
      </c>
      <c r="I21" s="25">
        <v>40.809285714285714</v>
      </c>
    </row>
    <row r="22" spans="1:9" x14ac:dyDescent="0.3">
      <c r="A22" s="8">
        <v>7</v>
      </c>
      <c r="B22" s="8" t="s">
        <v>37</v>
      </c>
      <c r="C22" s="25">
        <v>678.31500000000005</v>
      </c>
      <c r="D22" s="25">
        <v>140.42500000000001</v>
      </c>
      <c r="E22" s="25">
        <v>19.55</v>
      </c>
      <c r="F22" s="25">
        <v>218.16</v>
      </c>
      <c r="G22" s="25">
        <v>94.224999999999994</v>
      </c>
      <c r="H22" s="25">
        <v>141.94888888888892</v>
      </c>
      <c r="I22" s="25">
        <v>43.05</v>
      </c>
    </row>
    <row r="23" spans="1:9" x14ac:dyDescent="0.3">
      <c r="A23" s="8">
        <v>8</v>
      </c>
      <c r="B23" s="8" t="s">
        <v>38</v>
      </c>
      <c r="C23" s="25">
        <v>377.72</v>
      </c>
      <c r="D23" s="25">
        <v>115.815</v>
      </c>
      <c r="E23" s="25">
        <v>54.67</v>
      </c>
      <c r="F23" s="25">
        <v>177.065</v>
      </c>
      <c r="G23" s="25">
        <v>74.349999999999994</v>
      </c>
      <c r="H23" s="25">
        <v>118.48611111111111</v>
      </c>
      <c r="I23" s="25">
        <v>45.191428571428567</v>
      </c>
    </row>
    <row r="24" spans="1:9" x14ac:dyDescent="0.3">
      <c r="A24" s="8">
        <v>9</v>
      </c>
      <c r="B24" s="8" t="s">
        <v>39</v>
      </c>
      <c r="C24" s="25">
        <v>280.34333333333336</v>
      </c>
      <c r="D24" s="25">
        <v>88.833333333333329</v>
      </c>
      <c r="E24" s="25">
        <v>274.61333333333334</v>
      </c>
      <c r="F24" s="25">
        <v>153.02333333333331</v>
      </c>
      <c r="G24" s="25">
        <v>57.669999999999995</v>
      </c>
      <c r="H24" s="25">
        <v>108.505</v>
      </c>
      <c r="I24" s="25">
        <v>44.037692307692296</v>
      </c>
    </row>
    <row r="25" spans="1:9" x14ac:dyDescent="0.3">
      <c r="A25" s="8">
        <v>10</v>
      </c>
      <c r="B25" s="8" t="s">
        <v>40</v>
      </c>
      <c r="C25" s="25">
        <v>219.66</v>
      </c>
      <c r="D25" s="25">
        <v>56.18</v>
      </c>
      <c r="E25" s="25">
        <v>217.89333333333332</v>
      </c>
      <c r="F25" s="25">
        <v>120.19</v>
      </c>
      <c r="G25" s="25">
        <v>39</v>
      </c>
      <c r="H25" s="25">
        <v>99.505789473684189</v>
      </c>
      <c r="I25" s="25">
        <v>38.246428571428574</v>
      </c>
    </row>
    <row r="26" spans="1:9" x14ac:dyDescent="0.3">
      <c r="A26" s="8">
        <v>11</v>
      </c>
      <c r="B26" s="8" t="s">
        <v>29</v>
      </c>
      <c r="C26" s="25">
        <v>223.51666666666665</v>
      </c>
      <c r="D26" s="25">
        <v>74.816666666666677</v>
      </c>
      <c r="E26" s="25">
        <v>166.65</v>
      </c>
      <c r="F26" s="25">
        <v>110.20333333333333</v>
      </c>
      <c r="G26" s="25">
        <v>34.146666666666668</v>
      </c>
      <c r="H26" s="25">
        <v>96.038947368421077</v>
      </c>
      <c r="I26" s="25">
        <v>31.170666666666669</v>
      </c>
    </row>
    <row r="27" spans="1:9" x14ac:dyDescent="0.3">
      <c r="A27" s="8">
        <v>12</v>
      </c>
      <c r="B27" s="8" t="s">
        <v>30</v>
      </c>
      <c r="C27" s="25">
        <v>304.47999999999996</v>
      </c>
      <c r="D27" s="25">
        <v>135.54333333333332</v>
      </c>
      <c r="E27" s="25">
        <v>486.88333333333338</v>
      </c>
      <c r="F27" s="25">
        <v>178.38333333333335</v>
      </c>
      <c r="G27" s="25">
        <v>80.256666666666661</v>
      </c>
      <c r="H27" s="25">
        <v>92.856315789473669</v>
      </c>
      <c r="I27" s="25">
        <v>29.229375000000001</v>
      </c>
    </row>
    <row r="28" spans="1:9" x14ac:dyDescent="0.3">
      <c r="A28" s="8">
        <v>1</v>
      </c>
      <c r="B28" s="8" t="s">
        <v>31</v>
      </c>
      <c r="C28" s="25">
        <v>498.74666666666667</v>
      </c>
      <c r="D28" s="25">
        <v>282.20333333333332</v>
      </c>
      <c r="E28" s="25">
        <v>272.88333333333333</v>
      </c>
      <c r="F28" s="25">
        <v>375.49</v>
      </c>
      <c r="G28" s="25">
        <v>237.80333333333337</v>
      </c>
      <c r="H28" s="25">
        <v>126.33499999999998</v>
      </c>
      <c r="I28" s="25">
        <v>30.8</v>
      </c>
    </row>
    <row r="29" spans="1:9" x14ac:dyDescent="0.3">
      <c r="A29" s="8">
        <v>2</v>
      </c>
      <c r="B29" s="8" t="s">
        <v>32</v>
      </c>
      <c r="C29" s="25">
        <v>881.35666666666657</v>
      </c>
      <c r="D29" s="25">
        <v>563.65</v>
      </c>
      <c r="E29" s="25">
        <v>383.04333333333335</v>
      </c>
      <c r="F29" s="25">
        <v>564.73</v>
      </c>
      <c r="G29" s="25">
        <v>412.08666666666664</v>
      </c>
      <c r="H29" s="25">
        <v>134.9257894736842</v>
      </c>
      <c r="I29" s="25">
        <v>33.1875</v>
      </c>
    </row>
    <row r="30" spans="1:9" x14ac:dyDescent="0.3">
      <c r="A30" s="8">
        <v>3</v>
      </c>
      <c r="B30" s="8" t="s">
        <v>33</v>
      </c>
      <c r="C30" s="25">
        <v>2310.4266666666667</v>
      </c>
      <c r="D30" s="25">
        <v>550.74666666666667</v>
      </c>
      <c r="E30" s="25">
        <v>168.94333333333336</v>
      </c>
      <c r="F30" s="25">
        <v>613.9</v>
      </c>
      <c r="G30" s="25">
        <v>434.34333333333342</v>
      </c>
      <c r="H30" s="25">
        <v>138.05736842105264</v>
      </c>
      <c r="I30" s="25">
        <v>37.004666666666672</v>
      </c>
    </row>
    <row r="31" spans="1:9" x14ac:dyDescent="0.3">
      <c r="A31" s="8">
        <v>4</v>
      </c>
      <c r="B31" s="8" t="s">
        <v>34</v>
      </c>
      <c r="C31" s="25">
        <v>3677.08</v>
      </c>
      <c r="D31" s="25">
        <v>561.3366666666667</v>
      </c>
      <c r="E31" s="25">
        <v>93.81</v>
      </c>
      <c r="F31" s="25">
        <v>560.20666666666671</v>
      </c>
      <c r="G31" s="25">
        <v>406.36666666666662</v>
      </c>
      <c r="H31" s="25">
        <v>198.27052631578945</v>
      </c>
      <c r="I31" s="25">
        <v>37.96</v>
      </c>
    </row>
    <row r="32" spans="1:9" x14ac:dyDescent="0.3">
      <c r="A32" s="4"/>
      <c r="B32" s="4"/>
      <c r="H32" s="25"/>
    </row>
    <row r="33" spans="1:8" x14ac:dyDescent="0.3">
      <c r="A33" s="4"/>
      <c r="B33" s="4"/>
      <c r="H33" s="25"/>
    </row>
    <row r="34" spans="1:8" x14ac:dyDescent="0.3">
      <c r="A34" s="4"/>
      <c r="B34" s="4"/>
      <c r="H34" s="25"/>
    </row>
    <row r="35" spans="1:8" x14ac:dyDescent="0.3">
      <c r="A35" s="4"/>
      <c r="B35" s="4"/>
      <c r="H35" s="25"/>
    </row>
    <row r="36" spans="1:8" x14ac:dyDescent="0.3">
      <c r="A36" s="4"/>
      <c r="B36" s="4"/>
      <c r="H36" s="25"/>
    </row>
    <row r="37" spans="1:8" x14ac:dyDescent="0.3">
      <c r="A37" s="4"/>
      <c r="B37" s="4"/>
      <c r="H37" s="25"/>
    </row>
    <row r="38" spans="1:8" x14ac:dyDescent="0.3">
      <c r="A38" s="4"/>
      <c r="B38" s="4"/>
    </row>
    <row r="39" spans="1:8" x14ac:dyDescent="0.3">
      <c r="A39" s="4"/>
      <c r="B39" s="4"/>
    </row>
    <row r="40" spans="1:8" x14ac:dyDescent="0.3">
      <c r="A40" s="4"/>
      <c r="B40" s="4"/>
    </row>
    <row r="41" spans="1:8" x14ac:dyDescent="0.3">
      <c r="A41" s="4"/>
      <c r="B41" s="4"/>
    </row>
    <row r="42" spans="1:8" x14ac:dyDescent="0.3">
      <c r="A42" s="4"/>
      <c r="B42" s="4"/>
    </row>
    <row r="43" spans="1:8" x14ac:dyDescent="0.3">
      <c r="A43" s="4"/>
      <c r="B43" s="4"/>
    </row>
    <row r="44" spans="1:8" x14ac:dyDescent="0.3">
      <c r="A44" s="4"/>
      <c r="B44" s="4"/>
    </row>
    <row r="45" spans="1:8" x14ac:dyDescent="0.3">
      <c r="A45" s="4"/>
      <c r="B45" s="4"/>
    </row>
    <row r="46" spans="1:8" x14ac:dyDescent="0.3">
      <c r="A46" s="4"/>
      <c r="B46" s="4"/>
    </row>
    <row r="47" spans="1:8" x14ac:dyDescent="0.3">
      <c r="A47" s="4"/>
      <c r="B47" s="4"/>
    </row>
    <row r="48" spans="1:8" x14ac:dyDescent="0.3">
      <c r="A48" s="4"/>
      <c r="B48" s="4"/>
    </row>
    <row r="49" spans="1:2" x14ac:dyDescent="0.3">
      <c r="A49" s="4"/>
      <c r="B49" s="4"/>
    </row>
    <row r="50" spans="1:2" x14ac:dyDescent="0.3">
      <c r="A50" s="4"/>
      <c r="B50" s="4"/>
    </row>
    <row r="51" spans="1:2" x14ac:dyDescent="0.3">
      <c r="A51" s="4"/>
      <c r="B51" s="4"/>
    </row>
    <row r="52" spans="1:2" x14ac:dyDescent="0.3">
      <c r="A52" s="4"/>
      <c r="B52" s="4"/>
    </row>
    <row r="53" spans="1:2" x14ac:dyDescent="0.3">
      <c r="A53" s="4"/>
      <c r="B53" s="4"/>
    </row>
    <row r="54" spans="1:2" x14ac:dyDescent="0.3">
      <c r="A54" s="4"/>
      <c r="B54" s="4"/>
    </row>
    <row r="55" spans="1:2" x14ac:dyDescent="0.3">
      <c r="A55" s="4"/>
      <c r="B55" s="4"/>
    </row>
    <row r="56" spans="1:2" x14ac:dyDescent="0.3">
      <c r="A56" s="4"/>
      <c r="B56" s="4"/>
    </row>
    <row r="57" spans="1:2" x14ac:dyDescent="0.3">
      <c r="A57" s="4"/>
      <c r="B57" s="4"/>
    </row>
    <row r="58" spans="1:2" x14ac:dyDescent="0.3">
      <c r="A58" s="4"/>
      <c r="B58" s="4"/>
    </row>
    <row r="59" spans="1:2" x14ac:dyDescent="0.3">
      <c r="A59" s="4"/>
      <c r="B59" s="4"/>
    </row>
    <row r="60" spans="1:2" x14ac:dyDescent="0.3">
      <c r="A60" s="4"/>
      <c r="B60" s="4"/>
    </row>
    <row r="61" spans="1:2" x14ac:dyDescent="0.3">
      <c r="A61" s="4"/>
      <c r="B61" s="4"/>
    </row>
    <row r="62" spans="1:2" x14ac:dyDescent="0.3">
      <c r="A62" s="4"/>
      <c r="B62" s="4"/>
    </row>
    <row r="63" spans="1:2" x14ac:dyDescent="0.3">
      <c r="A63" s="4"/>
      <c r="B63" s="4"/>
    </row>
    <row r="64" spans="1:2" x14ac:dyDescent="0.3">
      <c r="A64" s="4"/>
      <c r="B64" s="4"/>
    </row>
    <row r="65" spans="1:2" x14ac:dyDescent="0.3">
      <c r="A65" s="4"/>
      <c r="B65" s="4"/>
    </row>
    <row r="66" spans="1:2" x14ac:dyDescent="0.3">
      <c r="A66" s="4"/>
      <c r="B66" s="4"/>
    </row>
    <row r="67" spans="1:2" x14ac:dyDescent="0.3">
      <c r="A67" s="4"/>
      <c r="B67" s="4"/>
    </row>
    <row r="68" spans="1:2" x14ac:dyDescent="0.3">
      <c r="A68" s="4"/>
      <c r="B68" s="4"/>
    </row>
    <row r="69" spans="1:2" x14ac:dyDescent="0.3">
      <c r="A69" s="4"/>
      <c r="B69" s="4"/>
    </row>
    <row r="70" spans="1:2" x14ac:dyDescent="0.3">
      <c r="A70" s="4"/>
      <c r="B70" s="4"/>
    </row>
    <row r="71" spans="1:2" x14ac:dyDescent="0.3">
      <c r="A71" s="4"/>
      <c r="B71" s="4"/>
    </row>
    <row r="72" spans="1:2" x14ac:dyDescent="0.3">
      <c r="A72" s="4"/>
      <c r="B72" s="4"/>
    </row>
    <row r="73" spans="1:2" x14ac:dyDescent="0.3">
      <c r="A73" s="4"/>
      <c r="B73" s="4"/>
    </row>
    <row r="74" spans="1:2" x14ac:dyDescent="0.3">
      <c r="A74" s="4"/>
      <c r="B74" s="4"/>
    </row>
    <row r="75" spans="1:2" x14ac:dyDescent="0.3">
      <c r="A75" s="4"/>
      <c r="B75" s="4"/>
    </row>
    <row r="76" spans="1:2" x14ac:dyDescent="0.3">
      <c r="A76" s="4"/>
      <c r="B76" s="4"/>
    </row>
    <row r="77" spans="1:2" x14ac:dyDescent="0.3">
      <c r="A77" s="4"/>
      <c r="B77" s="4"/>
    </row>
    <row r="78" spans="1:2" x14ac:dyDescent="0.3">
      <c r="A78" s="4"/>
      <c r="B78" s="4"/>
    </row>
    <row r="79" spans="1:2" x14ac:dyDescent="0.3">
      <c r="A79" s="4"/>
      <c r="B79" s="4"/>
    </row>
    <row r="80" spans="1:2" x14ac:dyDescent="0.3">
      <c r="A80" s="4"/>
      <c r="B80" s="4"/>
    </row>
    <row r="81" spans="1:2" x14ac:dyDescent="0.3">
      <c r="A81" s="4"/>
      <c r="B81" s="4"/>
    </row>
    <row r="82" spans="1:2" x14ac:dyDescent="0.3">
      <c r="A82" s="4"/>
      <c r="B82" s="4"/>
    </row>
    <row r="83" spans="1:2" x14ac:dyDescent="0.3">
      <c r="A83" s="4"/>
      <c r="B83" s="4"/>
    </row>
    <row r="84" spans="1:2" x14ac:dyDescent="0.3">
      <c r="A84" s="4"/>
      <c r="B84" s="4"/>
    </row>
    <row r="85" spans="1:2" x14ac:dyDescent="0.3">
      <c r="A85" s="4"/>
      <c r="B85" s="4"/>
    </row>
    <row r="86" spans="1:2" x14ac:dyDescent="0.3">
      <c r="A86" s="4"/>
      <c r="B86" s="4"/>
    </row>
    <row r="87" spans="1:2" x14ac:dyDescent="0.3">
      <c r="A87" s="4"/>
      <c r="B87" s="4"/>
    </row>
    <row r="88" spans="1:2" x14ac:dyDescent="0.3">
      <c r="A88" s="4"/>
      <c r="B88" s="4"/>
    </row>
    <row r="89" spans="1:2" x14ac:dyDescent="0.3">
      <c r="A89" s="4"/>
      <c r="B89" s="4"/>
    </row>
    <row r="90" spans="1:2" x14ac:dyDescent="0.3">
      <c r="A90" s="4"/>
      <c r="B90" s="4"/>
    </row>
    <row r="91" spans="1:2" x14ac:dyDescent="0.3">
      <c r="A91" s="4"/>
      <c r="B91" s="4"/>
    </row>
    <row r="92" spans="1:2" x14ac:dyDescent="0.3">
      <c r="A92" s="4"/>
      <c r="B92" s="4"/>
    </row>
    <row r="93" spans="1:2" x14ac:dyDescent="0.3">
      <c r="A93" s="4"/>
      <c r="B93" s="4"/>
    </row>
    <row r="94" spans="1:2" x14ac:dyDescent="0.3">
      <c r="A94" s="4"/>
      <c r="B94" s="4"/>
    </row>
    <row r="95" spans="1:2" x14ac:dyDescent="0.3">
      <c r="A95" s="4"/>
      <c r="B95" s="4"/>
    </row>
    <row r="96" spans="1:2" x14ac:dyDescent="0.3">
      <c r="A96" s="4"/>
      <c r="B96" s="4"/>
    </row>
    <row r="97" spans="1:2" x14ac:dyDescent="0.3">
      <c r="A97" s="4"/>
      <c r="B97" s="4"/>
    </row>
    <row r="98" spans="1:2" x14ac:dyDescent="0.3">
      <c r="A98" s="4"/>
      <c r="B98" s="4"/>
    </row>
    <row r="99" spans="1:2" x14ac:dyDescent="0.3">
      <c r="A99" s="4"/>
      <c r="B99" s="4"/>
    </row>
    <row r="100" spans="1:2" x14ac:dyDescent="0.3">
      <c r="A100" s="4"/>
      <c r="B100" s="4"/>
    </row>
    <row r="101" spans="1:2" x14ac:dyDescent="0.3">
      <c r="A101" s="4"/>
      <c r="B101" s="4"/>
    </row>
    <row r="102" spans="1:2" x14ac:dyDescent="0.3">
      <c r="A102" s="4"/>
      <c r="B102" s="4"/>
    </row>
    <row r="103" spans="1:2" x14ac:dyDescent="0.3">
      <c r="A103" s="4"/>
      <c r="B103" s="4"/>
    </row>
    <row r="104" spans="1:2" x14ac:dyDescent="0.3">
      <c r="A104" s="4"/>
      <c r="B104" s="4"/>
    </row>
    <row r="105" spans="1:2" x14ac:dyDescent="0.3">
      <c r="A105" s="4"/>
      <c r="B105" s="4"/>
    </row>
    <row r="106" spans="1:2" x14ac:dyDescent="0.3">
      <c r="A106" s="4"/>
      <c r="B106" s="4"/>
    </row>
    <row r="107" spans="1:2" x14ac:dyDescent="0.3">
      <c r="A107" s="4"/>
      <c r="B107" s="4"/>
    </row>
    <row r="108" spans="1:2" x14ac:dyDescent="0.3">
      <c r="A108" s="4"/>
      <c r="B108" s="4"/>
    </row>
    <row r="109" spans="1:2" x14ac:dyDescent="0.3">
      <c r="A109" s="4"/>
      <c r="B109" s="4"/>
    </row>
    <row r="110" spans="1:2" x14ac:dyDescent="0.3">
      <c r="A110" s="4"/>
      <c r="B110" s="4"/>
    </row>
    <row r="111" spans="1:2" x14ac:dyDescent="0.3">
      <c r="A111" s="4"/>
      <c r="B111" s="4"/>
    </row>
    <row r="112" spans="1:2" x14ac:dyDescent="0.3">
      <c r="A112" s="4"/>
      <c r="B112" s="4"/>
    </row>
    <row r="113" spans="1:2" x14ac:dyDescent="0.3">
      <c r="A113" s="4"/>
      <c r="B113" s="4"/>
    </row>
    <row r="114" spans="1:2" x14ac:dyDescent="0.3">
      <c r="A114" s="4"/>
      <c r="B114" s="4"/>
    </row>
    <row r="115" spans="1:2" x14ac:dyDescent="0.3">
      <c r="A115" s="4"/>
      <c r="B115" s="4"/>
    </row>
    <row r="116" spans="1:2" x14ac:dyDescent="0.3">
      <c r="A116" s="4"/>
      <c r="B116" s="4"/>
    </row>
    <row r="117" spans="1:2" x14ac:dyDescent="0.3">
      <c r="A117" s="4"/>
      <c r="B117" s="4"/>
    </row>
    <row r="118" spans="1:2" x14ac:dyDescent="0.3">
      <c r="A118" s="4"/>
      <c r="B118" s="4"/>
    </row>
    <row r="119" spans="1:2" x14ac:dyDescent="0.3">
      <c r="A119" s="4"/>
      <c r="B119" s="4"/>
    </row>
    <row r="120" spans="1:2" x14ac:dyDescent="0.3">
      <c r="A120" s="4"/>
      <c r="B120" s="4"/>
    </row>
    <row r="121" spans="1:2" x14ac:dyDescent="0.3">
      <c r="A121" s="4"/>
      <c r="B121" s="4"/>
    </row>
    <row r="122" spans="1:2" x14ac:dyDescent="0.3">
      <c r="A122" s="4"/>
      <c r="B122" s="4"/>
    </row>
    <row r="123" spans="1:2" x14ac:dyDescent="0.3">
      <c r="A123" s="4"/>
      <c r="B123" s="4"/>
    </row>
    <row r="124" spans="1:2" x14ac:dyDescent="0.3">
      <c r="A124" s="4"/>
      <c r="B124" s="4"/>
    </row>
    <row r="125" spans="1:2" x14ac:dyDescent="0.3">
      <c r="A125" s="4"/>
      <c r="B125" s="4"/>
    </row>
    <row r="126" spans="1:2" x14ac:dyDescent="0.3">
      <c r="A126" s="4"/>
      <c r="B126" s="4"/>
    </row>
    <row r="127" spans="1:2" x14ac:dyDescent="0.3">
      <c r="A127" s="4"/>
      <c r="B127" s="4"/>
    </row>
    <row r="128" spans="1:2" x14ac:dyDescent="0.3">
      <c r="A128" s="4"/>
      <c r="B128" s="4"/>
    </row>
    <row r="129" spans="1:2" x14ac:dyDescent="0.3">
      <c r="A129" s="4"/>
      <c r="B129" s="4"/>
    </row>
    <row r="130" spans="1:2" x14ac:dyDescent="0.3">
      <c r="A130" s="4"/>
      <c r="B130" s="4"/>
    </row>
    <row r="131" spans="1:2" x14ac:dyDescent="0.3">
      <c r="A131" s="4"/>
      <c r="B131" s="4"/>
    </row>
    <row r="132" spans="1:2" x14ac:dyDescent="0.3">
      <c r="A132" s="4"/>
      <c r="B132" s="4"/>
    </row>
    <row r="133" spans="1:2" x14ac:dyDescent="0.3">
      <c r="A133" s="4"/>
      <c r="B133" s="4"/>
    </row>
    <row r="134" spans="1:2" x14ac:dyDescent="0.3">
      <c r="A134" s="4"/>
      <c r="B134" s="4"/>
    </row>
    <row r="135" spans="1:2" x14ac:dyDescent="0.3">
      <c r="A135" s="4"/>
      <c r="B135" s="4"/>
    </row>
    <row r="136" spans="1:2" x14ac:dyDescent="0.3">
      <c r="A136" s="4"/>
      <c r="B136" s="4"/>
    </row>
    <row r="137" spans="1:2" x14ac:dyDescent="0.3">
      <c r="A137" s="4"/>
      <c r="B137" s="4"/>
    </row>
    <row r="138" spans="1:2" x14ac:dyDescent="0.3">
      <c r="A138" s="4"/>
      <c r="B138" s="4"/>
    </row>
    <row r="139" spans="1:2" x14ac:dyDescent="0.3">
      <c r="A139" s="4"/>
      <c r="B139" s="4"/>
    </row>
    <row r="140" spans="1:2" x14ac:dyDescent="0.3">
      <c r="A140" s="4"/>
      <c r="B140" s="4"/>
    </row>
    <row r="141" spans="1:2" x14ac:dyDescent="0.3">
      <c r="A141" s="4"/>
      <c r="B141" s="4"/>
    </row>
    <row r="142" spans="1:2" x14ac:dyDescent="0.3">
      <c r="A142" s="4"/>
      <c r="B142" s="4"/>
    </row>
    <row r="143" spans="1:2" x14ac:dyDescent="0.3">
      <c r="A143" s="4"/>
      <c r="B143" s="4"/>
    </row>
    <row r="144" spans="1:2" x14ac:dyDescent="0.3">
      <c r="A144" s="4"/>
      <c r="B144" s="4"/>
    </row>
    <row r="145" spans="1:2" x14ac:dyDescent="0.3">
      <c r="A145" s="4"/>
      <c r="B145" s="4"/>
    </row>
    <row r="146" spans="1:2" x14ac:dyDescent="0.3">
      <c r="A146" s="4"/>
      <c r="B146" s="4"/>
    </row>
    <row r="147" spans="1:2" x14ac:dyDescent="0.3">
      <c r="A147" s="4"/>
      <c r="B147" s="4"/>
    </row>
    <row r="148" spans="1:2" x14ac:dyDescent="0.3">
      <c r="A148" s="4"/>
      <c r="B148" s="4"/>
    </row>
    <row r="149" spans="1:2" x14ac:dyDescent="0.3">
      <c r="A149" s="4"/>
      <c r="B149" s="4"/>
    </row>
    <row r="150" spans="1:2" x14ac:dyDescent="0.3">
      <c r="A150" s="4"/>
      <c r="B150" s="4"/>
    </row>
    <row r="151" spans="1:2" x14ac:dyDescent="0.3">
      <c r="A151" s="4"/>
      <c r="B151" s="4"/>
    </row>
    <row r="152" spans="1:2" x14ac:dyDescent="0.3">
      <c r="A152" s="4"/>
      <c r="B152" s="4"/>
    </row>
    <row r="153" spans="1:2" x14ac:dyDescent="0.3">
      <c r="A153" s="4"/>
      <c r="B153" s="4"/>
    </row>
    <row r="154" spans="1:2" x14ac:dyDescent="0.3">
      <c r="A154" s="4"/>
      <c r="B154" s="4"/>
    </row>
    <row r="155" spans="1:2" x14ac:dyDescent="0.3">
      <c r="A155" s="4"/>
      <c r="B155" s="4"/>
    </row>
    <row r="156" spans="1:2" x14ac:dyDescent="0.3">
      <c r="A156" s="4"/>
      <c r="B156" s="4"/>
    </row>
    <row r="157" spans="1:2" x14ac:dyDescent="0.3">
      <c r="A157" s="4"/>
      <c r="B157" s="4"/>
    </row>
    <row r="158" spans="1:2" x14ac:dyDescent="0.3">
      <c r="A158" s="4"/>
      <c r="B158" s="4"/>
    </row>
    <row r="159" spans="1:2" x14ac:dyDescent="0.3">
      <c r="A159" s="4"/>
      <c r="B159" s="4"/>
    </row>
    <row r="160" spans="1:2" x14ac:dyDescent="0.3">
      <c r="A160" s="4"/>
      <c r="B160" s="4"/>
    </row>
    <row r="161" spans="1:2" x14ac:dyDescent="0.3">
      <c r="A161" s="4"/>
      <c r="B161" s="4"/>
    </row>
    <row r="162" spans="1:2" x14ac:dyDescent="0.3">
      <c r="A162" s="4"/>
      <c r="B162" s="4"/>
    </row>
    <row r="163" spans="1:2" x14ac:dyDescent="0.3">
      <c r="A163" s="4"/>
      <c r="B163" s="4"/>
    </row>
    <row r="164" spans="1:2" x14ac:dyDescent="0.3">
      <c r="A164" s="4"/>
      <c r="B164" s="4"/>
    </row>
    <row r="165" spans="1:2" x14ac:dyDescent="0.3">
      <c r="A165" s="4"/>
      <c r="B165" s="4"/>
    </row>
    <row r="166" spans="1:2" x14ac:dyDescent="0.3">
      <c r="A166" s="4"/>
      <c r="B166" s="4"/>
    </row>
    <row r="167" spans="1:2" x14ac:dyDescent="0.3">
      <c r="A167" s="4"/>
      <c r="B167" s="4"/>
    </row>
    <row r="168" spans="1:2" x14ac:dyDescent="0.3">
      <c r="A168" s="4"/>
      <c r="B168" s="4"/>
    </row>
    <row r="169" spans="1:2" x14ac:dyDescent="0.3">
      <c r="A169" s="4"/>
      <c r="B169" s="4"/>
    </row>
    <row r="170" spans="1:2" x14ac:dyDescent="0.3">
      <c r="A170" s="4"/>
      <c r="B170" s="4"/>
    </row>
    <row r="171" spans="1:2" x14ac:dyDescent="0.3">
      <c r="A171" s="4"/>
      <c r="B171" s="4"/>
    </row>
    <row r="172" spans="1:2" x14ac:dyDescent="0.3">
      <c r="A172" s="4"/>
      <c r="B172" s="4"/>
    </row>
    <row r="173" spans="1:2" x14ac:dyDescent="0.3">
      <c r="A173" s="4"/>
      <c r="B173" s="4"/>
    </row>
    <row r="174" spans="1:2" x14ac:dyDescent="0.3">
      <c r="A174" s="4"/>
      <c r="B174" s="4"/>
    </row>
    <row r="175" spans="1:2" x14ac:dyDescent="0.3">
      <c r="A175" s="4"/>
      <c r="B175" s="4"/>
    </row>
    <row r="176" spans="1:2" x14ac:dyDescent="0.3">
      <c r="A176" s="4"/>
      <c r="B176" s="4"/>
    </row>
    <row r="177" spans="1:2" x14ac:dyDescent="0.3">
      <c r="A177" s="4"/>
      <c r="B177" s="4"/>
    </row>
    <row r="178" spans="1:2" x14ac:dyDescent="0.3">
      <c r="A178" s="4"/>
      <c r="B178" s="4"/>
    </row>
    <row r="179" spans="1:2" x14ac:dyDescent="0.3">
      <c r="A179" s="4"/>
      <c r="B179" s="4"/>
    </row>
    <row r="180" spans="1:2" x14ac:dyDescent="0.3">
      <c r="A180" s="4"/>
      <c r="B180" s="4"/>
    </row>
    <row r="181" spans="1:2" x14ac:dyDescent="0.3">
      <c r="A181" s="4"/>
      <c r="B181" s="4"/>
    </row>
    <row r="182" spans="1:2" x14ac:dyDescent="0.3">
      <c r="A182" s="4"/>
      <c r="B182" s="4"/>
    </row>
    <row r="183" spans="1:2" x14ac:dyDescent="0.3">
      <c r="A183" s="4"/>
      <c r="B183" s="4"/>
    </row>
    <row r="184" spans="1:2" x14ac:dyDescent="0.3">
      <c r="A184" s="4"/>
      <c r="B184" s="4"/>
    </row>
    <row r="185" spans="1:2" x14ac:dyDescent="0.3">
      <c r="A185" s="4"/>
      <c r="B185" s="4"/>
    </row>
    <row r="186" spans="1:2" x14ac:dyDescent="0.3">
      <c r="A186" s="4"/>
      <c r="B186" s="4"/>
    </row>
    <row r="187" spans="1:2" x14ac:dyDescent="0.3">
      <c r="A187" s="4"/>
      <c r="B187" s="4"/>
    </row>
    <row r="188" spans="1:2" x14ac:dyDescent="0.3">
      <c r="A188" s="4"/>
      <c r="B188" s="4"/>
    </row>
    <row r="189" spans="1:2" x14ac:dyDescent="0.3">
      <c r="A189" s="4"/>
      <c r="B189" s="4"/>
    </row>
    <row r="190" spans="1:2" x14ac:dyDescent="0.3">
      <c r="A190" s="4"/>
      <c r="B190" s="4"/>
    </row>
    <row r="191" spans="1:2" x14ac:dyDescent="0.3">
      <c r="A191" s="4"/>
      <c r="B191" s="4"/>
    </row>
    <row r="192" spans="1:2" x14ac:dyDescent="0.3">
      <c r="A192" s="4"/>
      <c r="B192" s="4"/>
    </row>
    <row r="193" spans="1:2" x14ac:dyDescent="0.3">
      <c r="A193" s="4"/>
      <c r="B193" s="4"/>
    </row>
    <row r="194" spans="1:2" x14ac:dyDescent="0.3">
      <c r="A194" s="4"/>
      <c r="B194" s="4"/>
    </row>
    <row r="195" spans="1:2" x14ac:dyDescent="0.3">
      <c r="A195" s="4"/>
      <c r="B195" s="4"/>
    </row>
    <row r="196" spans="1:2" x14ac:dyDescent="0.3">
      <c r="A196" s="4"/>
      <c r="B196" s="4"/>
    </row>
    <row r="197" spans="1:2" x14ac:dyDescent="0.3">
      <c r="A197" s="4"/>
      <c r="B197" s="4"/>
    </row>
    <row r="198" spans="1:2" x14ac:dyDescent="0.3">
      <c r="A198" s="4"/>
      <c r="B198" s="4"/>
    </row>
    <row r="199" spans="1:2" x14ac:dyDescent="0.3">
      <c r="A199" s="4"/>
      <c r="B199" s="4"/>
    </row>
    <row r="200" spans="1:2" x14ac:dyDescent="0.3">
      <c r="A200" s="4"/>
      <c r="B200" s="4"/>
    </row>
    <row r="201" spans="1:2" x14ac:dyDescent="0.3">
      <c r="A201" s="4"/>
      <c r="B201" s="4"/>
    </row>
    <row r="202" spans="1:2" x14ac:dyDescent="0.3">
      <c r="A202" s="4"/>
      <c r="B202" s="4"/>
    </row>
    <row r="203" spans="1:2" x14ac:dyDescent="0.3">
      <c r="A203" s="4"/>
      <c r="B203" s="4"/>
    </row>
    <row r="204" spans="1:2" x14ac:dyDescent="0.3">
      <c r="A204" s="4"/>
      <c r="B204" s="4"/>
    </row>
    <row r="205" spans="1:2" x14ac:dyDescent="0.3">
      <c r="A205" s="4"/>
      <c r="B205" s="4"/>
    </row>
    <row r="206" spans="1:2" x14ac:dyDescent="0.3">
      <c r="A206" s="4"/>
      <c r="B206" s="4"/>
    </row>
    <row r="207" spans="1:2" x14ac:dyDescent="0.3">
      <c r="A207" s="4"/>
      <c r="B207" s="4"/>
    </row>
    <row r="208" spans="1:2" x14ac:dyDescent="0.3">
      <c r="A208" s="4"/>
      <c r="B208" s="4"/>
    </row>
    <row r="209" spans="1:2" x14ac:dyDescent="0.3">
      <c r="A209" s="4"/>
      <c r="B209" s="4"/>
    </row>
    <row r="210" spans="1:2" x14ac:dyDescent="0.3">
      <c r="A210" s="4"/>
      <c r="B210" s="4"/>
    </row>
    <row r="211" spans="1:2" x14ac:dyDescent="0.3">
      <c r="A211" s="4"/>
      <c r="B211" s="4"/>
    </row>
    <row r="212" spans="1:2" x14ac:dyDescent="0.3">
      <c r="A212" s="4"/>
      <c r="B212" s="4"/>
    </row>
    <row r="213" spans="1:2" x14ac:dyDescent="0.3">
      <c r="A213" s="4"/>
      <c r="B213" s="4"/>
    </row>
    <row r="214" spans="1:2" x14ac:dyDescent="0.3">
      <c r="A214" s="4"/>
      <c r="B214" s="4"/>
    </row>
    <row r="215" spans="1:2" x14ac:dyDescent="0.3">
      <c r="A215" s="4"/>
      <c r="B215" s="4"/>
    </row>
    <row r="216" spans="1:2" x14ac:dyDescent="0.3">
      <c r="A216" s="4"/>
      <c r="B216" s="4"/>
    </row>
    <row r="217" spans="1:2" x14ac:dyDescent="0.3">
      <c r="A217" s="4"/>
      <c r="B217" s="4"/>
    </row>
    <row r="218" spans="1:2" x14ac:dyDescent="0.3">
      <c r="A218" s="4"/>
      <c r="B218" s="4"/>
    </row>
    <row r="219" spans="1:2" x14ac:dyDescent="0.3">
      <c r="A219" s="4"/>
      <c r="B219" s="4"/>
    </row>
    <row r="220" spans="1:2" x14ac:dyDescent="0.3">
      <c r="A220" s="4"/>
      <c r="B220" s="4"/>
    </row>
    <row r="221" spans="1:2" x14ac:dyDescent="0.3">
      <c r="A221" s="4"/>
      <c r="B221" s="4"/>
    </row>
    <row r="222" spans="1:2" x14ac:dyDescent="0.3">
      <c r="A222" s="4"/>
      <c r="B222" s="4"/>
    </row>
    <row r="223" spans="1:2" x14ac:dyDescent="0.3">
      <c r="A223" s="4"/>
      <c r="B223" s="4"/>
    </row>
    <row r="236" spans="1:2" x14ac:dyDescent="0.3">
      <c r="A236" s="8"/>
      <c r="B236" s="8"/>
    </row>
    <row r="237" spans="1:2" x14ac:dyDescent="0.3">
      <c r="A237" s="8"/>
      <c r="B237" s="8"/>
    </row>
    <row r="238" spans="1:2" x14ac:dyDescent="0.3">
      <c r="A238" s="8"/>
      <c r="B238" s="8"/>
    </row>
    <row r="239" spans="1:2" x14ac:dyDescent="0.3">
      <c r="A239" s="8"/>
      <c r="B239" s="8"/>
    </row>
    <row r="240" spans="1:2" x14ac:dyDescent="0.3">
      <c r="A240" s="8"/>
      <c r="B240" s="8"/>
    </row>
    <row r="241" spans="1:2" x14ac:dyDescent="0.3">
      <c r="A241" s="8"/>
      <c r="B241" s="8"/>
    </row>
    <row r="242" spans="1:2" x14ac:dyDescent="0.3">
      <c r="A242" s="8"/>
      <c r="B242" s="8"/>
    </row>
    <row r="243" spans="1:2" x14ac:dyDescent="0.3">
      <c r="A243" s="8"/>
      <c r="B243" s="8"/>
    </row>
    <row r="244" spans="1:2" x14ac:dyDescent="0.3">
      <c r="A244" s="8"/>
      <c r="B244" s="8"/>
    </row>
    <row r="246" spans="1:2" x14ac:dyDescent="0.3">
      <c r="A246" s="14"/>
      <c r="B246" s="14"/>
    </row>
    <row r="247" spans="1:2" x14ac:dyDescent="0.3">
      <c r="A247" s="14"/>
      <c r="B247" s="14"/>
    </row>
    <row r="248" spans="1:2" x14ac:dyDescent="0.3">
      <c r="A248" s="14"/>
      <c r="B248" s="14"/>
    </row>
    <row r="249" spans="1:2" x14ac:dyDescent="0.3">
      <c r="A249" s="14"/>
      <c r="B249" s="14"/>
    </row>
    <row r="250" spans="1:2" x14ac:dyDescent="0.3">
      <c r="A250" s="14"/>
      <c r="B250" s="14"/>
    </row>
    <row r="251" spans="1:2" x14ac:dyDescent="0.3">
      <c r="A251" s="14"/>
      <c r="B251" s="14"/>
    </row>
    <row r="252" spans="1:2" x14ac:dyDescent="0.3">
      <c r="A252" s="14"/>
      <c r="B252" s="14"/>
    </row>
    <row r="253" spans="1:2" x14ac:dyDescent="0.3">
      <c r="A253" s="14"/>
      <c r="B253" s="14"/>
    </row>
    <row r="254" spans="1:2" x14ac:dyDescent="0.3">
      <c r="A254" s="14"/>
      <c r="B254" s="14"/>
    </row>
    <row r="255" spans="1:2" x14ac:dyDescent="0.3">
      <c r="A255" s="14"/>
      <c r="B255" s="14"/>
    </row>
    <row r="256" spans="1:2" x14ac:dyDescent="0.3">
      <c r="A256" s="14"/>
      <c r="B256" s="14"/>
    </row>
    <row r="257" spans="1:2" x14ac:dyDescent="0.3">
      <c r="A257" s="14"/>
      <c r="B257" s="14"/>
    </row>
    <row r="258" spans="1:2" x14ac:dyDescent="0.3">
      <c r="A258" s="14"/>
      <c r="B258" s="14"/>
    </row>
    <row r="259" spans="1:2" x14ac:dyDescent="0.3">
      <c r="A259" s="14"/>
      <c r="B259" s="14"/>
    </row>
    <row r="260" spans="1:2" x14ac:dyDescent="0.3">
      <c r="A260" s="14"/>
      <c r="B260" s="14"/>
    </row>
    <row r="261" spans="1:2" x14ac:dyDescent="0.3">
      <c r="A261" s="14"/>
      <c r="B261" s="14"/>
    </row>
    <row r="262" spans="1:2" x14ac:dyDescent="0.3">
      <c r="A262" s="14"/>
      <c r="B262" s="14"/>
    </row>
    <row r="263" spans="1:2" x14ac:dyDescent="0.3">
      <c r="A263" s="14"/>
      <c r="B263" s="14"/>
    </row>
    <row r="264" spans="1:2" x14ac:dyDescent="0.3">
      <c r="A264" s="14"/>
      <c r="B264" s="14"/>
    </row>
    <row r="265" spans="1:2" x14ac:dyDescent="0.3">
      <c r="A265" s="14"/>
      <c r="B265" s="14"/>
    </row>
    <row r="266" spans="1:2" x14ac:dyDescent="0.3">
      <c r="A266" s="14"/>
      <c r="B266" s="14"/>
    </row>
    <row r="267" spans="1:2" x14ac:dyDescent="0.3">
      <c r="A267" s="14"/>
      <c r="B267" s="14"/>
    </row>
    <row r="268" spans="1:2" x14ac:dyDescent="0.3">
      <c r="A268" s="14"/>
      <c r="B268" s="14"/>
    </row>
    <row r="269" spans="1:2" x14ac:dyDescent="0.3">
      <c r="A269" s="14"/>
      <c r="B269" s="14"/>
    </row>
    <row r="270" spans="1:2" x14ac:dyDescent="0.3">
      <c r="A270" s="14"/>
      <c r="B270" s="14"/>
    </row>
    <row r="271" spans="1:2" x14ac:dyDescent="0.3">
      <c r="A271" s="14"/>
      <c r="B271" s="14"/>
    </row>
    <row r="272" spans="1:2" x14ac:dyDescent="0.3">
      <c r="A272" s="14"/>
      <c r="B272" s="14"/>
    </row>
    <row r="273" spans="1:2" x14ac:dyDescent="0.3">
      <c r="A273" s="14"/>
      <c r="B273" s="14"/>
    </row>
    <row r="274" spans="1:2" x14ac:dyDescent="0.3">
      <c r="A274" s="14"/>
      <c r="B274" s="14"/>
    </row>
    <row r="275" spans="1:2" x14ac:dyDescent="0.3">
      <c r="A275" s="14"/>
      <c r="B275" s="14"/>
    </row>
    <row r="276" spans="1:2" x14ac:dyDescent="0.3">
      <c r="A276" s="14"/>
      <c r="B276" s="14"/>
    </row>
    <row r="277" spans="1:2" x14ac:dyDescent="0.3">
      <c r="A277" s="14"/>
      <c r="B277" s="14"/>
    </row>
    <row r="278" spans="1:2" x14ac:dyDescent="0.3">
      <c r="A278" s="14"/>
      <c r="B278" s="14"/>
    </row>
    <row r="279" spans="1:2" x14ac:dyDescent="0.3">
      <c r="A279" s="14"/>
      <c r="B279" s="14"/>
    </row>
    <row r="280" spans="1:2" x14ac:dyDescent="0.3">
      <c r="A280" s="14"/>
      <c r="B280" s="14"/>
    </row>
    <row r="281" spans="1:2" x14ac:dyDescent="0.3">
      <c r="A281" s="14"/>
      <c r="B281" s="14"/>
    </row>
    <row r="282" spans="1:2" x14ac:dyDescent="0.3">
      <c r="A282" s="14"/>
      <c r="B282" s="14"/>
    </row>
    <row r="283" spans="1:2" x14ac:dyDescent="0.3">
      <c r="A283" s="14"/>
      <c r="B283" s="14"/>
    </row>
    <row r="284" spans="1:2" x14ac:dyDescent="0.3">
      <c r="A284" s="14"/>
      <c r="B284" s="14"/>
    </row>
    <row r="285" spans="1:2" x14ac:dyDescent="0.3">
      <c r="A285" s="14"/>
      <c r="B285" s="14"/>
    </row>
    <row r="286" spans="1:2" x14ac:dyDescent="0.3">
      <c r="A286" s="14"/>
      <c r="B286" s="14"/>
    </row>
    <row r="287" spans="1:2" x14ac:dyDescent="0.3">
      <c r="A287" s="14"/>
      <c r="B287" s="14"/>
    </row>
    <row r="288" spans="1:2" x14ac:dyDescent="0.3">
      <c r="A288" s="14"/>
      <c r="B288" s="14"/>
    </row>
    <row r="289" spans="1:2" x14ac:dyDescent="0.3">
      <c r="A289" s="14"/>
      <c r="B289" s="14"/>
    </row>
    <row r="290" spans="1:2" x14ac:dyDescent="0.3">
      <c r="A290" s="14"/>
      <c r="B290" s="14"/>
    </row>
  </sheetData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AC78-4D99-4BAF-A2FD-07F5B64C5164}">
  <dimension ref="A1:O307"/>
  <sheetViews>
    <sheetView topLeftCell="C1" zoomScale="70" zoomScaleNormal="70" workbookViewId="0">
      <selection activeCell="J25" sqref="J25"/>
    </sheetView>
  </sheetViews>
  <sheetFormatPr defaultRowHeight="14.4" x14ac:dyDescent="0.3"/>
  <cols>
    <col min="1" max="1" width="7.8984375" bestFit="1" customWidth="1"/>
    <col min="2" max="6" width="18" style="8" customWidth="1"/>
    <col min="7" max="7" width="18" customWidth="1"/>
    <col min="8" max="8" width="21.59765625" style="8" customWidth="1"/>
    <col min="9" max="9" width="8.69921875" style="8"/>
    <col min="10" max="10" width="33.69921875" customWidth="1"/>
    <col min="11" max="11" width="6.09765625" bestFit="1" customWidth="1"/>
    <col min="12" max="12" width="7.69921875" bestFit="1" customWidth="1"/>
    <col min="13" max="14" width="8.59765625" bestFit="1" customWidth="1"/>
    <col min="15" max="15" width="7.59765625" bestFit="1" customWidth="1"/>
  </cols>
  <sheetData>
    <row r="1" spans="1:15" s="8" customFormat="1" ht="28.8" x14ac:dyDescent="0.3">
      <c r="B1" s="21" t="s">
        <v>22</v>
      </c>
      <c r="C1" s="21" t="s">
        <v>23</v>
      </c>
      <c r="D1" s="21" t="s">
        <v>24</v>
      </c>
      <c r="E1" s="21" t="s">
        <v>25</v>
      </c>
      <c r="F1" s="21" t="s">
        <v>26</v>
      </c>
      <c r="G1" s="21" t="s">
        <v>27</v>
      </c>
      <c r="H1" s="21" t="s">
        <v>42</v>
      </c>
    </row>
    <row r="2" spans="1:15" s="8" customFormat="1" x14ac:dyDescent="0.3">
      <c r="A2" s="16" t="s">
        <v>15</v>
      </c>
      <c r="B2" s="8">
        <f t="shared" ref="B2:H2" si="0">_xlfn.MODE.SNGL(B$8:B$241)</f>
        <v>71</v>
      </c>
      <c r="C2" s="8">
        <f t="shared" si="0"/>
        <v>18</v>
      </c>
      <c r="D2" s="8">
        <f t="shared" si="0"/>
        <v>33</v>
      </c>
      <c r="E2" s="8">
        <f t="shared" si="0"/>
        <v>240</v>
      </c>
      <c r="F2" s="8">
        <f t="shared" si="0"/>
        <v>125</v>
      </c>
      <c r="G2" s="8">
        <f t="shared" si="0"/>
        <v>8</v>
      </c>
      <c r="H2" s="8">
        <f t="shared" si="0"/>
        <v>131.41000000000003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</row>
    <row r="3" spans="1:15" s="8" customFormat="1" x14ac:dyDescent="0.3">
      <c r="A3" s="16" t="s">
        <v>16</v>
      </c>
      <c r="B3" s="17">
        <f t="shared" ref="B3:H3" si="1">MEDIAN(B$8:B$241)</f>
        <v>138</v>
      </c>
      <c r="C3" s="17">
        <f t="shared" si="1"/>
        <v>36</v>
      </c>
      <c r="D3" s="17">
        <f t="shared" si="1"/>
        <v>135</v>
      </c>
      <c r="E3" s="17">
        <f t="shared" si="1"/>
        <v>629</v>
      </c>
      <c r="F3" s="17">
        <f t="shared" si="1"/>
        <v>263.5</v>
      </c>
      <c r="G3" s="17">
        <f t="shared" si="1"/>
        <v>27</v>
      </c>
      <c r="H3" s="17">
        <f t="shared" si="1"/>
        <v>118.82999999999998</v>
      </c>
      <c r="I3" s="17"/>
      <c r="J3" s="8" t="s">
        <v>25</v>
      </c>
      <c r="K3" s="8">
        <v>240</v>
      </c>
      <c r="L3" s="8">
        <v>629</v>
      </c>
      <c r="M3" s="8">
        <v>1322.3508771929824</v>
      </c>
      <c r="N3" s="8">
        <v>5750</v>
      </c>
      <c r="O3" s="8">
        <v>154</v>
      </c>
    </row>
    <row r="4" spans="1:15" s="8" customFormat="1" x14ac:dyDescent="0.3">
      <c r="A4" s="18" t="s">
        <v>17</v>
      </c>
      <c r="B4" s="19">
        <f t="shared" ref="B4:H4" si="2">AVERAGE(B$8:B$241)</f>
        <v>223.91739130434783</v>
      </c>
      <c r="C4" s="19">
        <f t="shared" si="2"/>
        <v>37.168539325842694</v>
      </c>
      <c r="D4" s="19">
        <f t="shared" si="2"/>
        <v>206.07929515418502</v>
      </c>
      <c r="E4" s="19">
        <f t="shared" si="2"/>
        <v>1322.3508771929824</v>
      </c>
      <c r="F4" s="19">
        <f t="shared" si="2"/>
        <v>340.18421052631578</v>
      </c>
      <c r="G4" s="19">
        <f t="shared" si="2"/>
        <v>110.83185840707965</v>
      </c>
      <c r="H4" s="19">
        <f t="shared" si="2"/>
        <v>140.60599118942739</v>
      </c>
      <c r="I4" s="19"/>
      <c r="J4" s="8" t="s">
        <v>22</v>
      </c>
      <c r="K4" s="8">
        <v>71</v>
      </c>
      <c r="L4" s="8">
        <v>138</v>
      </c>
      <c r="M4" s="8">
        <v>223.91739130434783</v>
      </c>
      <c r="N4" s="8">
        <v>1434</v>
      </c>
      <c r="O4" s="8">
        <v>10</v>
      </c>
    </row>
    <row r="5" spans="1:15" s="8" customFormat="1" x14ac:dyDescent="0.3">
      <c r="A5" s="18" t="s">
        <v>18</v>
      </c>
      <c r="B5" s="19">
        <f t="shared" ref="B5:H5" si="3">MAX(B$8:B$241)</f>
        <v>1434</v>
      </c>
      <c r="C5" s="19">
        <f t="shared" si="3"/>
        <v>94</v>
      </c>
      <c r="D5" s="19">
        <f t="shared" si="3"/>
        <v>803</v>
      </c>
      <c r="E5" s="19">
        <f t="shared" si="3"/>
        <v>5750</v>
      </c>
      <c r="F5" s="19">
        <f t="shared" si="3"/>
        <v>1170</v>
      </c>
      <c r="G5" s="19">
        <f t="shared" si="3"/>
        <v>1382</v>
      </c>
      <c r="H5" s="19">
        <f t="shared" si="3"/>
        <v>381.7</v>
      </c>
      <c r="I5" s="19"/>
      <c r="J5" s="8" t="s">
        <v>27</v>
      </c>
      <c r="K5" s="8">
        <v>8</v>
      </c>
      <c r="L5" s="8">
        <v>27</v>
      </c>
      <c r="M5" s="8">
        <v>110.83185840707965</v>
      </c>
      <c r="N5" s="8">
        <v>1382</v>
      </c>
      <c r="O5" s="8">
        <v>2</v>
      </c>
    </row>
    <row r="6" spans="1:15" x14ac:dyDescent="0.3">
      <c r="A6" s="18" t="s">
        <v>19</v>
      </c>
      <c r="B6" s="19">
        <f t="shared" ref="B6:H6" si="4">MIN(B$8:B$241)</f>
        <v>10</v>
      </c>
      <c r="C6" s="19">
        <f t="shared" si="4"/>
        <v>5</v>
      </c>
      <c r="D6" s="19">
        <f t="shared" si="4"/>
        <v>21</v>
      </c>
      <c r="E6" s="19">
        <f t="shared" si="4"/>
        <v>154</v>
      </c>
      <c r="F6" s="19">
        <f t="shared" si="4"/>
        <v>100</v>
      </c>
      <c r="G6" s="19">
        <f t="shared" si="4"/>
        <v>2</v>
      </c>
      <c r="H6" s="19">
        <f t="shared" si="4"/>
        <v>16.329999999999984</v>
      </c>
      <c r="I6" s="19"/>
      <c r="J6" s="8" t="s">
        <v>24</v>
      </c>
      <c r="K6" s="8">
        <v>33</v>
      </c>
      <c r="L6" s="8">
        <v>135</v>
      </c>
      <c r="M6" s="8">
        <v>206.07929515418502</v>
      </c>
      <c r="N6" s="8">
        <v>803</v>
      </c>
      <c r="O6" s="8">
        <v>21</v>
      </c>
    </row>
    <row r="7" spans="1:15" s="8" customFormat="1" x14ac:dyDescent="0.3">
      <c r="A7" s="9"/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41</v>
      </c>
      <c r="J7" s="26" t="s">
        <v>43</v>
      </c>
      <c r="K7" s="27">
        <f>_xlfn.MODE.SNGL(H$8:H$241)</f>
        <v>131.41000000000003</v>
      </c>
      <c r="L7" s="28">
        <f>MEDIAN(H$8:H$241)</f>
        <v>118.82999999999998</v>
      </c>
      <c r="M7" s="29">
        <f>AVERAGE(H$8:H$241)</f>
        <v>140.60599118942739</v>
      </c>
      <c r="N7" s="29">
        <f>MAX(H$8:H$241)</f>
        <v>381.7</v>
      </c>
      <c r="O7" s="29">
        <f>MIN(H$8:H$241)</f>
        <v>16.329999999999984</v>
      </c>
    </row>
    <row r="8" spans="1:15" x14ac:dyDescent="0.3">
      <c r="A8" s="4">
        <v>36892</v>
      </c>
      <c r="B8" s="20">
        <v>74</v>
      </c>
      <c r="C8" s="20">
        <v>18</v>
      </c>
      <c r="D8" s="20">
        <v>61</v>
      </c>
      <c r="E8" s="20">
        <v>561</v>
      </c>
      <c r="F8" s="20">
        <v>125</v>
      </c>
      <c r="G8" s="20">
        <v>261</v>
      </c>
      <c r="H8" s="8">
        <v>63.86</v>
      </c>
      <c r="J8" s="8" t="s">
        <v>23</v>
      </c>
      <c r="K8" s="8">
        <v>18</v>
      </c>
      <c r="L8" s="8">
        <v>36</v>
      </c>
      <c r="M8" s="8">
        <v>37.168539325842694</v>
      </c>
      <c r="N8" s="8">
        <v>94</v>
      </c>
      <c r="O8" s="8">
        <v>5</v>
      </c>
    </row>
    <row r="9" spans="1:15" x14ac:dyDescent="0.3">
      <c r="A9" s="4">
        <v>36923</v>
      </c>
      <c r="B9" s="20">
        <v>301</v>
      </c>
      <c r="C9" s="20">
        <v>21</v>
      </c>
      <c r="D9" s="20">
        <v>194</v>
      </c>
      <c r="E9" s="20">
        <v>1123</v>
      </c>
      <c r="F9" s="20">
        <v>222</v>
      </c>
      <c r="G9" s="20">
        <v>27</v>
      </c>
      <c r="H9" s="8">
        <v>28.050000000000011</v>
      </c>
    </row>
    <row r="10" spans="1:15" x14ac:dyDescent="0.3">
      <c r="A10" s="4">
        <v>36951</v>
      </c>
      <c r="B10" s="20">
        <v>407</v>
      </c>
      <c r="C10" s="20">
        <v>23</v>
      </c>
      <c r="D10" s="20">
        <v>443</v>
      </c>
      <c r="E10" s="20">
        <v>3651</v>
      </c>
      <c r="F10" s="20">
        <v>460</v>
      </c>
      <c r="G10" s="20">
        <v>20</v>
      </c>
      <c r="H10" s="8">
        <v>16.329999999999984</v>
      </c>
    </row>
    <row r="11" spans="1:15" x14ac:dyDescent="0.3">
      <c r="A11" s="4">
        <v>36982</v>
      </c>
      <c r="B11" s="20">
        <v>898</v>
      </c>
      <c r="C11" s="20">
        <v>26</v>
      </c>
      <c r="D11" s="20">
        <v>587</v>
      </c>
      <c r="E11" s="20">
        <v>4005</v>
      </c>
      <c r="F11" s="20">
        <v>736</v>
      </c>
      <c r="G11" s="20">
        <v>80</v>
      </c>
      <c r="H11" s="8">
        <v>149.36000000000001</v>
      </c>
    </row>
    <row r="12" spans="1:15" x14ac:dyDescent="0.3">
      <c r="A12" s="4">
        <v>37012</v>
      </c>
      <c r="B12" s="20">
        <v>510</v>
      </c>
      <c r="C12" s="20">
        <v>29</v>
      </c>
      <c r="D12" s="20">
        <v>451</v>
      </c>
      <c r="E12" s="20">
        <v>3481</v>
      </c>
      <c r="F12" s="20">
        <v>799</v>
      </c>
      <c r="G12" s="20">
        <v>315</v>
      </c>
      <c r="H12" s="8">
        <v>347.4</v>
      </c>
    </row>
    <row r="13" spans="1:15" x14ac:dyDescent="0.3">
      <c r="A13" s="4">
        <v>37043</v>
      </c>
      <c r="B13" s="20">
        <v>198</v>
      </c>
      <c r="C13" s="20">
        <v>31</v>
      </c>
      <c r="D13" s="20">
        <v>180</v>
      </c>
      <c r="E13" s="20">
        <v>1624</v>
      </c>
      <c r="F13" s="20">
        <v>408</v>
      </c>
      <c r="G13" s="20">
        <v>206</v>
      </c>
      <c r="H13" s="8">
        <v>227.71999999999997</v>
      </c>
    </row>
    <row r="14" spans="1:15" x14ac:dyDescent="0.3">
      <c r="A14" s="4">
        <v>37073</v>
      </c>
      <c r="B14" s="20">
        <v>141</v>
      </c>
      <c r="C14" s="20">
        <v>36</v>
      </c>
      <c r="D14" s="20">
        <v>75</v>
      </c>
      <c r="E14" s="20">
        <v>719</v>
      </c>
      <c r="F14" s="20">
        <v>289</v>
      </c>
      <c r="G14" s="20">
        <v>175</v>
      </c>
      <c r="H14" s="8">
        <v>214.76</v>
      </c>
    </row>
    <row r="15" spans="1:15" x14ac:dyDescent="0.3">
      <c r="A15" s="4">
        <v>37104</v>
      </c>
      <c r="B15" s="20">
        <v>112</v>
      </c>
      <c r="C15" s="20">
        <v>49</v>
      </c>
      <c r="D15" s="20">
        <v>84</v>
      </c>
      <c r="E15" s="20">
        <v>414</v>
      </c>
      <c r="F15" s="20">
        <v>212</v>
      </c>
      <c r="G15" s="20">
        <v>32</v>
      </c>
      <c r="H15" s="8">
        <v>128.36000000000001</v>
      </c>
    </row>
    <row r="16" spans="1:15" x14ac:dyDescent="0.3">
      <c r="A16" s="4">
        <v>37135</v>
      </c>
      <c r="B16" s="20">
        <v>90</v>
      </c>
      <c r="C16" s="20">
        <v>46</v>
      </c>
      <c r="D16" s="20">
        <v>72</v>
      </c>
      <c r="E16" s="20">
        <v>297</v>
      </c>
      <c r="F16" s="20">
        <v>170</v>
      </c>
      <c r="G16" s="20">
        <v>78</v>
      </c>
      <c r="H16" s="8">
        <v>98.63000000000001</v>
      </c>
    </row>
    <row r="17" spans="1:8" x14ac:dyDescent="0.3">
      <c r="A17" s="4">
        <v>37165</v>
      </c>
      <c r="B17" s="20">
        <v>71</v>
      </c>
      <c r="C17" s="20">
        <v>40</v>
      </c>
      <c r="D17" s="20">
        <v>52</v>
      </c>
      <c r="E17" s="20">
        <v>226</v>
      </c>
      <c r="F17" s="20">
        <v>132</v>
      </c>
      <c r="G17" s="20">
        <v>262</v>
      </c>
      <c r="H17" s="8">
        <v>79.69</v>
      </c>
    </row>
    <row r="18" spans="1:8" x14ac:dyDescent="0.3">
      <c r="A18" s="4">
        <v>37196</v>
      </c>
      <c r="B18" s="20">
        <v>63</v>
      </c>
      <c r="C18" s="20">
        <v>40</v>
      </c>
      <c r="D18" s="20">
        <v>40</v>
      </c>
      <c r="E18" s="20">
        <v>240</v>
      </c>
      <c r="F18" s="20">
        <v>115</v>
      </c>
      <c r="G18" s="20">
        <v>296</v>
      </c>
      <c r="H18" s="8">
        <v>75.759999999999991</v>
      </c>
    </row>
    <row r="19" spans="1:8" x14ac:dyDescent="0.3">
      <c r="A19" s="4">
        <v>37226</v>
      </c>
      <c r="B19" s="20">
        <v>85</v>
      </c>
      <c r="C19" s="20">
        <v>37</v>
      </c>
      <c r="D19" s="20">
        <v>68</v>
      </c>
      <c r="E19" s="20">
        <v>368</v>
      </c>
      <c r="F19" s="20">
        <v>163</v>
      </c>
      <c r="G19" s="20">
        <v>1382</v>
      </c>
      <c r="H19" s="8">
        <v>94.45</v>
      </c>
    </row>
    <row r="20" spans="1:8" x14ac:dyDescent="0.3">
      <c r="A20" s="4">
        <v>37257</v>
      </c>
      <c r="B20" s="20">
        <v>108</v>
      </c>
      <c r="C20" s="20">
        <v>36</v>
      </c>
      <c r="D20" s="20">
        <v>93</v>
      </c>
      <c r="E20" s="20">
        <v>504</v>
      </c>
      <c r="F20" s="20">
        <v>185</v>
      </c>
      <c r="G20" s="20">
        <v>767</v>
      </c>
      <c r="H20" s="8">
        <v>91.56</v>
      </c>
    </row>
    <row r="21" spans="1:8" x14ac:dyDescent="0.3">
      <c r="A21" s="4">
        <v>37288</v>
      </c>
      <c r="B21" s="20">
        <v>180</v>
      </c>
      <c r="C21" s="20">
        <v>37</v>
      </c>
      <c r="D21" s="20">
        <v>207</v>
      </c>
      <c r="E21" s="20">
        <v>711</v>
      </c>
      <c r="F21" s="20">
        <v>263</v>
      </c>
      <c r="G21" s="20">
        <v>1111</v>
      </c>
      <c r="H21" s="8">
        <v>55.489999999999981</v>
      </c>
    </row>
    <row r="22" spans="1:8" x14ac:dyDescent="0.3">
      <c r="A22" s="4">
        <v>37316</v>
      </c>
      <c r="B22" s="20">
        <v>451</v>
      </c>
      <c r="C22" s="20">
        <v>35</v>
      </c>
      <c r="D22" s="20">
        <v>358</v>
      </c>
      <c r="E22" s="20">
        <v>1488</v>
      </c>
      <c r="F22" s="20">
        <v>405</v>
      </c>
      <c r="G22" s="20">
        <v>469</v>
      </c>
      <c r="H22" s="8">
        <v>47.29000000000002</v>
      </c>
    </row>
    <row r="23" spans="1:8" x14ac:dyDescent="0.3">
      <c r="A23" s="4">
        <v>37347</v>
      </c>
      <c r="B23" s="20">
        <v>853</v>
      </c>
      <c r="C23" s="20">
        <v>32</v>
      </c>
      <c r="D23" s="20">
        <v>436</v>
      </c>
      <c r="E23" s="20">
        <v>2027</v>
      </c>
      <c r="F23" s="20">
        <v>540</v>
      </c>
      <c r="G23" s="20">
        <v>187</v>
      </c>
      <c r="H23" s="8">
        <v>104.86000000000001</v>
      </c>
    </row>
    <row r="24" spans="1:8" x14ac:dyDescent="0.3">
      <c r="A24" s="4">
        <v>37377</v>
      </c>
      <c r="B24" s="20">
        <v>326</v>
      </c>
      <c r="C24" s="20">
        <v>30</v>
      </c>
      <c r="D24" s="20">
        <v>273</v>
      </c>
      <c r="E24" s="20">
        <v>2154</v>
      </c>
      <c r="F24" s="20">
        <v>448</v>
      </c>
      <c r="G24" s="20">
        <v>97</v>
      </c>
      <c r="H24" s="8">
        <v>175.77000000000004</v>
      </c>
    </row>
    <row r="25" spans="1:8" x14ac:dyDescent="0.3">
      <c r="A25" s="4">
        <v>37408</v>
      </c>
      <c r="B25" s="20">
        <v>159</v>
      </c>
      <c r="C25" s="20">
        <v>27</v>
      </c>
      <c r="D25" s="20">
        <v>146</v>
      </c>
      <c r="E25" s="20">
        <v>1383</v>
      </c>
      <c r="F25" s="20">
        <v>313</v>
      </c>
      <c r="G25" s="20">
        <v>58</v>
      </c>
      <c r="H25" s="8">
        <v>167.72999999999996</v>
      </c>
    </row>
    <row r="26" spans="1:8" x14ac:dyDescent="0.3">
      <c r="A26" s="4">
        <v>37438</v>
      </c>
      <c r="B26" s="20">
        <v>117</v>
      </c>
      <c r="C26" s="20">
        <v>26</v>
      </c>
      <c r="D26" s="20">
        <v>103</v>
      </c>
      <c r="E26" s="20">
        <v>593</v>
      </c>
      <c r="F26" s="20">
        <v>236</v>
      </c>
      <c r="G26" s="20">
        <v>27</v>
      </c>
      <c r="H26" s="8">
        <v>132.85</v>
      </c>
    </row>
    <row r="27" spans="1:8" x14ac:dyDescent="0.3">
      <c r="A27" s="4">
        <v>37469</v>
      </c>
      <c r="B27" s="20">
        <v>88</v>
      </c>
      <c r="C27" s="20">
        <v>25</v>
      </c>
      <c r="D27" s="20">
        <v>79</v>
      </c>
      <c r="E27" s="20">
        <v>346</v>
      </c>
      <c r="F27" s="20">
        <v>192</v>
      </c>
      <c r="G27" s="20">
        <v>92</v>
      </c>
      <c r="H27" s="8">
        <v>113.26</v>
      </c>
    </row>
    <row r="28" spans="1:8" x14ac:dyDescent="0.3">
      <c r="A28" s="4">
        <v>37500</v>
      </c>
      <c r="B28" s="20">
        <v>71</v>
      </c>
      <c r="C28" s="20">
        <v>23</v>
      </c>
      <c r="D28" s="20">
        <v>54</v>
      </c>
      <c r="E28" s="20">
        <v>256</v>
      </c>
      <c r="F28" s="20">
        <v>156</v>
      </c>
      <c r="G28" s="20">
        <v>727</v>
      </c>
      <c r="H28" s="8">
        <v>101.83</v>
      </c>
    </row>
    <row r="29" spans="1:8" x14ac:dyDescent="0.3">
      <c r="A29" s="4">
        <v>37530</v>
      </c>
      <c r="B29" s="20">
        <v>59</v>
      </c>
      <c r="C29" s="20">
        <v>22</v>
      </c>
      <c r="D29" s="20">
        <v>35</v>
      </c>
      <c r="E29" s="20">
        <v>216</v>
      </c>
      <c r="F29" s="20">
        <v>125</v>
      </c>
      <c r="G29" s="20">
        <v>373</v>
      </c>
      <c r="H29" s="8">
        <v>90.09</v>
      </c>
    </row>
    <row r="30" spans="1:8" x14ac:dyDescent="0.3">
      <c r="A30" s="4">
        <v>37561</v>
      </c>
      <c r="B30" s="20">
        <v>74</v>
      </c>
      <c r="C30" s="20">
        <v>20</v>
      </c>
      <c r="D30" s="20">
        <v>33</v>
      </c>
      <c r="E30" s="20">
        <v>218</v>
      </c>
      <c r="F30" s="20">
        <v>110</v>
      </c>
      <c r="G30" s="20">
        <v>185</v>
      </c>
      <c r="H30" s="8">
        <v>76.640000000000015</v>
      </c>
    </row>
    <row r="31" spans="1:8" x14ac:dyDescent="0.3">
      <c r="A31" s="4">
        <v>37591</v>
      </c>
      <c r="B31" s="20">
        <v>133</v>
      </c>
      <c r="C31" s="20">
        <v>20</v>
      </c>
      <c r="D31" s="20">
        <v>63</v>
      </c>
      <c r="E31" s="20">
        <v>265</v>
      </c>
      <c r="F31" s="20">
        <v>157</v>
      </c>
      <c r="G31" s="20">
        <v>57</v>
      </c>
      <c r="H31" s="8">
        <v>94.01</v>
      </c>
    </row>
    <row r="32" spans="1:8" x14ac:dyDescent="0.3">
      <c r="A32" s="4">
        <v>37622</v>
      </c>
      <c r="B32" s="20">
        <v>159</v>
      </c>
      <c r="C32" s="20">
        <v>21</v>
      </c>
      <c r="D32" s="20">
        <v>120</v>
      </c>
      <c r="E32" s="20">
        <v>492</v>
      </c>
      <c r="F32" s="20">
        <v>213</v>
      </c>
      <c r="G32" s="20">
        <v>33</v>
      </c>
      <c r="H32" s="8">
        <v>92.800000000000011</v>
      </c>
    </row>
    <row r="33" spans="1:8" x14ac:dyDescent="0.3">
      <c r="A33" s="4">
        <v>37653</v>
      </c>
      <c r="B33" s="20">
        <v>439</v>
      </c>
      <c r="C33" s="20">
        <v>23</v>
      </c>
      <c r="D33" s="20">
        <v>317</v>
      </c>
      <c r="E33" s="20">
        <v>910</v>
      </c>
      <c r="F33" s="20">
        <v>367</v>
      </c>
      <c r="G33" s="20">
        <v>20</v>
      </c>
      <c r="H33" s="8">
        <v>50.129999999999995</v>
      </c>
    </row>
    <row r="34" spans="1:8" x14ac:dyDescent="0.3">
      <c r="A34" s="4">
        <v>37681</v>
      </c>
      <c r="B34" s="20">
        <v>549</v>
      </c>
      <c r="C34" s="20">
        <v>21</v>
      </c>
      <c r="D34" s="20">
        <v>393</v>
      </c>
      <c r="E34" s="20">
        <v>1859</v>
      </c>
      <c r="F34" s="20">
        <v>510</v>
      </c>
      <c r="G34" s="20">
        <v>21</v>
      </c>
      <c r="H34" s="8">
        <v>117.12</v>
      </c>
    </row>
    <row r="35" spans="1:8" x14ac:dyDescent="0.3">
      <c r="A35" s="4">
        <v>37712</v>
      </c>
      <c r="B35" s="20">
        <v>378</v>
      </c>
      <c r="C35" s="20">
        <v>21</v>
      </c>
      <c r="D35" s="20">
        <v>266</v>
      </c>
      <c r="E35" s="20">
        <v>3749</v>
      </c>
      <c r="F35" s="20">
        <v>402</v>
      </c>
      <c r="G35" s="20">
        <v>42</v>
      </c>
      <c r="H35" s="8">
        <v>135.81</v>
      </c>
    </row>
    <row r="36" spans="1:8" x14ac:dyDescent="0.3">
      <c r="A36" s="4">
        <v>37742</v>
      </c>
      <c r="B36" s="20">
        <v>305</v>
      </c>
      <c r="C36" s="20">
        <v>22</v>
      </c>
      <c r="D36" s="20">
        <v>216</v>
      </c>
      <c r="E36" s="20">
        <v>3811</v>
      </c>
      <c r="F36" s="20">
        <v>364</v>
      </c>
      <c r="G36" s="20">
        <v>17</v>
      </c>
      <c r="H36" s="8">
        <v>148.02000000000001</v>
      </c>
    </row>
    <row r="37" spans="1:8" x14ac:dyDescent="0.3">
      <c r="A37" s="4">
        <v>37773</v>
      </c>
      <c r="B37" s="20">
        <v>181</v>
      </c>
      <c r="C37" s="20">
        <v>21</v>
      </c>
      <c r="D37" s="20">
        <v>116</v>
      </c>
      <c r="E37" s="20">
        <v>1801</v>
      </c>
      <c r="F37" s="20">
        <v>264</v>
      </c>
      <c r="G37" s="20">
        <v>13</v>
      </c>
      <c r="H37" s="8">
        <v>148.58999999999997</v>
      </c>
    </row>
    <row r="38" spans="1:8" x14ac:dyDescent="0.3">
      <c r="A38" s="4">
        <v>37803</v>
      </c>
      <c r="B38" s="20">
        <v>164</v>
      </c>
      <c r="C38" s="20">
        <v>21</v>
      </c>
      <c r="D38" s="20">
        <v>85</v>
      </c>
      <c r="E38" s="20">
        <v>764</v>
      </c>
      <c r="F38" s="20">
        <v>200</v>
      </c>
      <c r="G38" s="20">
        <v>12</v>
      </c>
      <c r="H38" s="8">
        <v>115.02</v>
      </c>
    </row>
    <row r="39" spans="1:8" x14ac:dyDescent="0.3">
      <c r="A39" s="4">
        <v>37834</v>
      </c>
      <c r="B39" s="20">
        <v>144</v>
      </c>
      <c r="C39" s="20">
        <v>20</v>
      </c>
      <c r="D39" s="20">
        <v>70</v>
      </c>
      <c r="E39" s="20">
        <v>409</v>
      </c>
      <c r="F39" s="20">
        <v>162</v>
      </c>
      <c r="G39" s="20">
        <v>18</v>
      </c>
      <c r="H39" s="8">
        <v>92.169999999999987</v>
      </c>
    </row>
    <row r="40" spans="1:8" x14ac:dyDescent="0.3">
      <c r="A40" s="4">
        <v>37865</v>
      </c>
      <c r="B40" s="20">
        <v>105</v>
      </c>
      <c r="C40" s="20">
        <v>19</v>
      </c>
      <c r="D40" s="20">
        <v>47</v>
      </c>
      <c r="E40" s="20">
        <v>288</v>
      </c>
      <c r="F40" s="20">
        <v>133</v>
      </c>
      <c r="G40" s="20">
        <v>19</v>
      </c>
      <c r="H40" s="8">
        <v>85.6</v>
      </c>
    </row>
    <row r="41" spans="1:8" x14ac:dyDescent="0.3">
      <c r="A41" s="4">
        <v>37895</v>
      </c>
      <c r="B41" s="20">
        <v>38</v>
      </c>
      <c r="C41" s="20">
        <v>17</v>
      </c>
      <c r="D41" s="20">
        <v>29</v>
      </c>
      <c r="E41" s="20">
        <v>216</v>
      </c>
      <c r="F41" s="20">
        <v>103</v>
      </c>
      <c r="G41" s="20">
        <v>19</v>
      </c>
      <c r="H41" s="8">
        <v>73.789999999999992</v>
      </c>
    </row>
    <row r="42" spans="1:8" x14ac:dyDescent="0.3">
      <c r="A42" s="4">
        <v>37926</v>
      </c>
      <c r="B42" s="20">
        <v>87</v>
      </c>
      <c r="C42" s="20">
        <v>16</v>
      </c>
      <c r="D42" s="20">
        <v>30</v>
      </c>
      <c r="E42" s="20">
        <v>212</v>
      </c>
      <c r="F42" s="20">
        <v>106</v>
      </c>
      <c r="G42" s="20">
        <v>19</v>
      </c>
      <c r="H42" s="8">
        <v>75.77</v>
      </c>
    </row>
    <row r="43" spans="1:8" x14ac:dyDescent="0.3">
      <c r="A43" s="4">
        <v>37956</v>
      </c>
      <c r="B43" s="20">
        <v>189</v>
      </c>
      <c r="C43" s="20">
        <v>18</v>
      </c>
      <c r="D43" s="20">
        <v>110</v>
      </c>
      <c r="E43" s="20">
        <v>281</v>
      </c>
      <c r="F43" s="20">
        <v>215</v>
      </c>
      <c r="G43" s="20">
        <v>22</v>
      </c>
      <c r="H43" s="8">
        <v>105.92</v>
      </c>
    </row>
    <row r="44" spans="1:8" x14ac:dyDescent="0.3">
      <c r="A44" s="4">
        <v>37987</v>
      </c>
      <c r="B44" s="20">
        <v>579</v>
      </c>
      <c r="C44" s="20">
        <v>19</v>
      </c>
      <c r="D44" s="20">
        <v>500</v>
      </c>
      <c r="E44" s="20">
        <v>501</v>
      </c>
      <c r="F44" s="20">
        <v>729</v>
      </c>
      <c r="G44" s="20">
        <v>19</v>
      </c>
      <c r="H44" s="8">
        <v>228.69999999999993</v>
      </c>
    </row>
    <row r="45" spans="1:8" x14ac:dyDescent="0.3">
      <c r="A45" s="4">
        <v>38018</v>
      </c>
      <c r="B45" s="20">
        <v>1072</v>
      </c>
      <c r="C45" s="20">
        <v>21</v>
      </c>
      <c r="D45" s="20">
        <v>712</v>
      </c>
      <c r="E45" s="20">
        <v>1023</v>
      </c>
      <c r="F45" s="20">
        <v>1064</v>
      </c>
      <c r="G45" s="20">
        <v>18</v>
      </c>
      <c r="H45" s="8">
        <v>352.30999999999995</v>
      </c>
    </row>
    <row r="46" spans="1:8" x14ac:dyDescent="0.3">
      <c r="A46" s="4">
        <v>38047</v>
      </c>
      <c r="B46" s="20">
        <v>652</v>
      </c>
      <c r="C46" s="20" t="s">
        <v>20</v>
      </c>
      <c r="D46" s="20">
        <v>552</v>
      </c>
      <c r="E46" s="20">
        <v>3584</v>
      </c>
      <c r="F46" s="20">
        <v>927</v>
      </c>
      <c r="G46" s="20">
        <v>17</v>
      </c>
      <c r="H46" s="8">
        <v>374.26</v>
      </c>
    </row>
    <row r="47" spans="1:8" x14ac:dyDescent="0.3">
      <c r="A47" s="4">
        <v>38078</v>
      </c>
      <c r="B47" s="20">
        <v>454</v>
      </c>
      <c r="C47" s="20" t="s">
        <v>20</v>
      </c>
      <c r="D47" s="20">
        <v>517</v>
      </c>
      <c r="E47" s="20">
        <v>5255</v>
      </c>
      <c r="F47" s="20">
        <v>738</v>
      </c>
      <c r="G47" s="20">
        <v>52</v>
      </c>
      <c r="H47" s="8">
        <v>220.85000000000002</v>
      </c>
    </row>
    <row r="48" spans="1:8" x14ac:dyDescent="0.3">
      <c r="A48" s="4">
        <v>38108</v>
      </c>
      <c r="B48" s="20">
        <v>328</v>
      </c>
      <c r="C48" s="20" t="s">
        <v>20</v>
      </c>
      <c r="D48" s="20">
        <v>292</v>
      </c>
      <c r="E48" s="20">
        <v>3663</v>
      </c>
      <c r="F48" s="20">
        <v>577</v>
      </c>
      <c r="G48" s="20">
        <v>41</v>
      </c>
      <c r="H48" s="8">
        <v>285.28000000000003</v>
      </c>
    </row>
    <row r="49" spans="1:8" x14ac:dyDescent="0.3">
      <c r="A49" s="4">
        <v>38139</v>
      </c>
      <c r="B49" s="20">
        <v>189</v>
      </c>
      <c r="C49" s="20" t="s">
        <v>20</v>
      </c>
      <c r="D49" s="20" t="s">
        <v>20</v>
      </c>
      <c r="E49" s="20">
        <v>1790</v>
      </c>
      <c r="F49" s="20">
        <v>382</v>
      </c>
      <c r="G49" s="20">
        <v>32</v>
      </c>
      <c r="H49" s="8">
        <v>381.7</v>
      </c>
    </row>
    <row r="50" spans="1:8" x14ac:dyDescent="0.3">
      <c r="A50" s="4">
        <v>38169</v>
      </c>
      <c r="B50" s="20">
        <v>111</v>
      </c>
      <c r="C50" s="20" t="s">
        <v>20</v>
      </c>
      <c r="D50" s="20" t="s">
        <v>20</v>
      </c>
      <c r="E50" s="20">
        <v>764</v>
      </c>
      <c r="F50" s="20">
        <v>302</v>
      </c>
      <c r="G50" s="20">
        <v>25</v>
      </c>
      <c r="H50" s="8">
        <v>302.02999999999997</v>
      </c>
    </row>
    <row r="51" spans="1:8" x14ac:dyDescent="0.3">
      <c r="A51" s="4">
        <v>38200</v>
      </c>
      <c r="B51" s="20">
        <v>131</v>
      </c>
      <c r="C51" s="20" t="s">
        <v>20</v>
      </c>
      <c r="D51" s="20" t="s">
        <v>20</v>
      </c>
      <c r="E51" s="20">
        <v>413</v>
      </c>
      <c r="F51" s="20">
        <v>225</v>
      </c>
      <c r="G51" s="20">
        <v>24</v>
      </c>
      <c r="H51" s="8">
        <v>224.75</v>
      </c>
    </row>
    <row r="52" spans="1:8" x14ac:dyDescent="0.3">
      <c r="A52" s="4">
        <v>38231</v>
      </c>
      <c r="B52" s="20">
        <v>133</v>
      </c>
      <c r="C52" s="20" t="s">
        <v>20</v>
      </c>
      <c r="D52" s="20" t="s">
        <v>20</v>
      </c>
      <c r="E52" s="20">
        <v>290</v>
      </c>
      <c r="F52" s="20">
        <v>183</v>
      </c>
      <c r="G52" s="20">
        <v>19</v>
      </c>
      <c r="H52" s="8">
        <v>183.3</v>
      </c>
    </row>
    <row r="53" spans="1:8" x14ac:dyDescent="0.3">
      <c r="A53" s="4">
        <v>38261</v>
      </c>
      <c r="B53" s="20">
        <v>120</v>
      </c>
      <c r="C53" s="20" t="s">
        <v>20</v>
      </c>
      <c r="D53" s="20">
        <v>53</v>
      </c>
      <c r="E53" s="20">
        <v>240</v>
      </c>
      <c r="F53" s="20">
        <v>150</v>
      </c>
      <c r="G53" s="20">
        <v>19</v>
      </c>
      <c r="H53" s="8">
        <v>96.81</v>
      </c>
    </row>
    <row r="54" spans="1:8" x14ac:dyDescent="0.3">
      <c r="A54" s="4">
        <v>38292</v>
      </c>
      <c r="B54" s="20">
        <v>153</v>
      </c>
      <c r="C54" s="20">
        <v>25</v>
      </c>
      <c r="D54" s="20">
        <v>49</v>
      </c>
      <c r="E54" s="20">
        <v>244</v>
      </c>
      <c r="F54" s="20">
        <v>140</v>
      </c>
      <c r="G54" s="20">
        <v>17</v>
      </c>
      <c r="H54" s="8">
        <v>90.760000000000019</v>
      </c>
    </row>
    <row r="55" spans="1:8" x14ac:dyDescent="0.3">
      <c r="A55" s="4">
        <v>38322</v>
      </c>
      <c r="B55" s="20">
        <v>249</v>
      </c>
      <c r="C55" s="20">
        <v>25</v>
      </c>
      <c r="D55" s="20">
        <v>89</v>
      </c>
      <c r="E55" s="20">
        <v>301</v>
      </c>
      <c r="F55" s="20">
        <v>185</v>
      </c>
      <c r="G55" s="20">
        <v>18</v>
      </c>
      <c r="H55" s="8">
        <v>95.77</v>
      </c>
    </row>
    <row r="56" spans="1:8" x14ac:dyDescent="0.3">
      <c r="A56" s="4">
        <v>38353</v>
      </c>
      <c r="B56" s="20">
        <v>233</v>
      </c>
      <c r="C56" s="20">
        <v>24</v>
      </c>
      <c r="D56" s="20">
        <v>144</v>
      </c>
      <c r="E56" s="20">
        <v>458</v>
      </c>
      <c r="F56" s="20">
        <v>224</v>
      </c>
      <c r="G56" s="20">
        <v>18</v>
      </c>
      <c r="H56" s="8">
        <v>80.509999999999991</v>
      </c>
    </row>
    <row r="57" spans="1:8" x14ac:dyDescent="0.3">
      <c r="A57" s="4">
        <v>38384</v>
      </c>
      <c r="B57" s="20">
        <v>384</v>
      </c>
      <c r="C57" s="20">
        <v>24</v>
      </c>
      <c r="D57" s="20">
        <v>366</v>
      </c>
      <c r="E57" s="20">
        <v>798</v>
      </c>
      <c r="F57" s="20">
        <v>405</v>
      </c>
      <c r="G57" s="20">
        <v>27</v>
      </c>
      <c r="H57" s="8">
        <v>39.230000000000018</v>
      </c>
    </row>
    <row r="58" spans="1:8" x14ac:dyDescent="0.3">
      <c r="A58" s="4">
        <v>38412</v>
      </c>
      <c r="B58" s="20">
        <v>424</v>
      </c>
      <c r="C58" s="20">
        <v>24</v>
      </c>
      <c r="D58" s="20">
        <v>386</v>
      </c>
      <c r="E58" s="20">
        <v>1372</v>
      </c>
      <c r="F58" s="20">
        <v>509</v>
      </c>
      <c r="G58" s="20">
        <v>24</v>
      </c>
      <c r="H58" s="8">
        <v>122.88999999999999</v>
      </c>
    </row>
    <row r="59" spans="1:8" x14ac:dyDescent="0.3">
      <c r="A59" s="4">
        <v>38443</v>
      </c>
      <c r="B59" s="20">
        <v>562</v>
      </c>
      <c r="C59" s="20">
        <v>25</v>
      </c>
      <c r="D59" s="20">
        <v>589</v>
      </c>
      <c r="E59" s="20">
        <v>1398</v>
      </c>
      <c r="F59" s="20">
        <v>695</v>
      </c>
      <c r="G59" s="20">
        <v>34</v>
      </c>
      <c r="H59" s="8">
        <v>105.87</v>
      </c>
    </row>
    <row r="60" spans="1:8" x14ac:dyDescent="0.3">
      <c r="A60" s="4">
        <v>38473</v>
      </c>
      <c r="B60" s="20">
        <v>228</v>
      </c>
      <c r="C60" s="20">
        <v>24</v>
      </c>
      <c r="D60" s="20">
        <v>318</v>
      </c>
      <c r="E60" s="20">
        <v>1424</v>
      </c>
      <c r="F60" s="20">
        <v>602</v>
      </c>
      <c r="G60" s="20">
        <v>30</v>
      </c>
      <c r="H60" s="8">
        <v>284.13</v>
      </c>
    </row>
    <row r="61" spans="1:8" x14ac:dyDescent="0.3">
      <c r="A61" s="4">
        <v>38504</v>
      </c>
      <c r="B61" s="20">
        <v>132</v>
      </c>
      <c r="C61" s="20" t="s">
        <v>20</v>
      </c>
      <c r="D61" s="20">
        <v>153</v>
      </c>
      <c r="E61" s="20">
        <v>876</v>
      </c>
      <c r="F61" s="20">
        <v>360</v>
      </c>
      <c r="G61" s="20">
        <v>25</v>
      </c>
      <c r="H61" s="8">
        <v>207.11</v>
      </c>
    </row>
    <row r="62" spans="1:8" x14ac:dyDescent="0.3">
      <c r="A62" s="4">
        <v>38534</v>
      </c>
      <c r="B62" s="20">
        <v>123</v>
      </c>
      <c r="C62" s="20" t="s">
        <v>20</v>
      </c>
      <c r="D62" s="20">
        <v>112</v>
      </c>
      <c r="E62" s="20">
        <v>433</v>
      </c>
      <c r="F62" s="20">
        <v>237</v>
      </c>
      <c r="G62" s="20">
        <v>23</v>
      </c>
      <c r="H62" s="8">
        <v>124.63</v>
      </c>
    </row>
    <row r="63" spans="1:8" x14ac:dyDescent="0.3">
      <c r="A63" s="4">
        <v>38565</v>
      </c>
      <c r="B63" s="20">
        <v>123</v>
      </c>
      <c r="C63" s="20" t="s">
        <v>20</v>
      </c>
      <c r="D63" s="20">
        <v>89</v>
      </c>
      <c r="E63" s="20">
        <v>305</v>
      </c>
      <c r="F63" s="20">
        <v>178</v>
      </c>
      <c r="G63" s="20">
        <v>19</v>
      </c>
      <c r="H63" s="8">
        <v>89.139999999999986</v>
      </c>
    </row>
    <row r="64" spans="1:8" x14ac:dyDescent="0.3">
      <c r="A64" s="4">
        <v>38596</v>
      </c>
      <c r="B64" s="20">
        <v>119</v>
      </c>
      <c r="C64" s="20" t="s">
        <v>20</v>
      </c>
      <c r="D64" s="20">
        <v>64</v>
      </c>
      <c r="E64" s="20">
        <v>227</v>
      </c>
      <c r="F64" s="20">
        <v>150</v>
      </c>
      <c r="G64" s="20">
        <v>17</v>
      </c>
      <c r="H64" s="8">
        <v>85.94</v>
      </c>
    </row>
    <row r="65" spans="1:8" x14ac:dyDescent="0.3">
      <c r="A65" s="4">
        <v>38626</v>
      </c>
      <c r="B65" s="20">
        <v>115</v>
      </c>
      <c r="C65" s="20" t="s">
        <v>20</v>
      </c>
      <c r="D65" s="20">
        <v>43</v>
      </c>
      <c r="E65" s="20">
        <v>201</v>
      </c>
      <c r="F65" s="20">
        <v>125</v>
      </c>
      <c r="G65" s="20">
        <v>20</v>
      </c>
      <c r="H65" s="8">
        <v>82.240000000000009</v>
      </c>
    </row>
    <row r="66" spans="1:8" x14ac:dyDescent="0.3">
      <c r="A66" s="4">
        <v>38657</v>
      </c>
      <c r="B66" s="20">
        <v>130</v>
      </c>
      <c r="C66" s="20" t="s">
        <v>20</v>
      </c>
      <c r="D66" s="20">
        <v>46</v>
      </c>
      <c r="E66" s="20">
        <v>176</v>
      </c>
      <c r="F66" s="20">
        <v>130</v>
      </c>
      <c r="G66" s="20">
        <v>26</v>
      </c>
      <c r="H66" s="8">
        <v>83.25</v>
      </c>
    </row>
    <row r="67" spans="1:8" x14ac:dyDescent="0.3">
      <c r="A67" s="4">
        <v>38687</v>
      </c>
      <c r="B67" s="20">
        <v>135</v>
      </c>
      <c r="C67" s="20" t="s">
        <v>20</v>
      </c>
      <c r="D67" s="20">
        <v>74</v>
      </c>
      <c r="E67" s="20">
        <v>246</v>
      </c>
      <c r="F67" s="20">
        <v>167</v>
      </c>
      <c r="G67" s="20">
        <v>32</v>
      </c>
      <c r="H67" s="8">
        <v>93.26</v>
      </c>
    </row>
    <row r="68" spans="1:8" x14ac:dyDescent="0.3">
      <c r="A68" s="4">
        <v>38718</v>
      </c>
      <c r="B68" s="20">
        <v>167</v>
      </c>
      <c r="C68" s="20" t="s">
        <v>20</v>
      </c>
      <c r="D68" s="20">
        <v>142</v>
      </c>
      <c r="E68" s="20">
        <v>386</v>
      </c>
      <c r="F68" s="20">
        <v>244</v>
      </c>
      <c r="G68" s="20">
        <v>44</v>
      </c>
      <c r="H68" s="8">
        <v>102.02000000000001</v>
      </c>
    </row>
    <row r="69" spans="1:8" x14ac:dyDescent="0.3">
      <c r="A69" s="4">
        <v>38749</v>
      </c>
      <c r="B69" s="20">
        <v>116</v>
      </c>
      <c r="C69" s="20" t="s">
        <v>20</v>
      </c>
      <c r="D69" s="20">
        <v>180</v>
      </c>
      <c r="E69" s="20">
        <v>708</v>
      </c>
      <c r="F69" s="20">
        <v>312</v>
      </c>
      <c r="G69" s="20">
        <v>92</v>
      </c>
      <c r="H69" s="8">
        <v>132.21999999999997</v>
      </c>
    </row>
    <row r="70" spans="1:8" x14ac:dyDescent="0.3">
      <c r="A70" s="4">
        <v>38777</v>
      </c>
      <c r="B70" s="20">
        <v>176</v>
      </c>
      <c r="C70" s="20" t="s">
        <v>20</v>
      </c>
      <c r="D70" s="20">
        <v>235</v>
      </c>
      <c r="E70" s="20">
        <v>1557</v>
      </c>
      <c r="F70" s="20">
        <v>376</v>
      </c>
      <c r="G70" s="20">
        <v>906</v>
      </c>
      <c r="H70" s="8">
        <v>140.57000000000002</v>
      </c>
    </row>
    <row r="71" spans="1:8" x14ac:dyDescent="0.3">
      <c r="A71" s="4">
        <v>38808</v>
      </c>
      <c r="B71" s="20">
        <v>535</v>
      </c>
      <c r="C71" s="20" t="s">
        <v>20</v>
      </c>
      <c r="D71" s="20">
        <v>333</v>
      </c>
      <c r="E71" s="20">
        <v>3286</v>
      </c>
      <c r="F71" s="20">
        <v>487</v>
      </c>
      <c r="G71" s="20">
        <v>1036</v>
      </c>
      <c r="H71" s="8">
        <v>153.82999999999998</v>
      </c>
    </row>
    <row r="72" spans="1:8" x14ac:dyDescent="0.3">
      <c r="A72" s="4">
        <v>38838</v>
      </c>
      <c r="B72" s="20">
        <v>416</v>
      </c>
      <c r="C72" s="20" t="s">
        <v>20</v>
      </c>
      <c r="D72" s="20">
        <v>343</v>
      </c>
      <c r="E72" s="20">
        <v>2783</v>
      </c>
      <c r="F72" s="20">
        <v>523</v>
      </c>
      <c r="G72" s="20">
        <v>612</v>
      </c>
      <c r="H72" s="8">
        <v>179.84999999999997</v>
      </c>
    </row>
    <row r="73" spans="1:8" x14ac:dyDescent="0.3">
      <c r="A73" s="4">
        <v>38869</v>
      </c>
      <c r="B73" s="20">
        <v>145</v>
      </c>
      <c r="C73" s="20" t="s">
        <v>20</v>
      </c>
      <c r="D73" s="20">
        <v>180</v>
      </c>
      <c r="E73" s="20">
        <v>1527</v>
      </c>
      <c r="F73" s="20">
        <v>382</v>
      </c>
      <c r="G73" s="20">
        <v>420</v>
      </c>
      <c r="H73" s="8">
        <v>202.00000000000003</v>
      </c>
    </row>
    <row r="74" spans="1:8" x14ac:dyDescent="0.3">
      <c r="A74" s="4">
        <v>38899</v>
      </c>
      <c r="B74" s="20">
        <v>105</v>
      </c>
      <c r="C74" s="20" t="s">
        <v>20</v>
      </c>
      <c r="D74" s="20">
        <v>119</v>
      </c>
      <c r="E74" s="20">
        <v>634</v>
      </c>
      <c r="F74" s="20">
        <v>268</v>
      </c>
      <c r="G74" s="20">
        <v>189</v>
      </c>
      <c r="H74" s="8">
        <v>148.76</v>
      </c>
    </row>
    <row r="75" spans="1:8" x14ac:dyDescent="0.3">
      <c r="A75" s="4">
        <v>38930</v>
      </c>
      <c r="B75" s="20">
        <v>81</v>
      </c>
      <c r="C75" s="20" t="s">
        <v>20</v>
      </c>
      <c r="D75" s="20">
        <v>97</v>
      </c>
      <c r="E75" s="20">
        <v>352</v>
      </c>
      <c r="F75" s="20">
        <v>208</v>
      </c>
      <c r="G75" s="20">
        <v>106</v>
      </c>
      <c r="H75" s="8">
        <v>110.68</v>
      </c>
    </row>
    <row r="76" spans="1:8" x14ac:dyDescent="0.3">
      <c r="A76" s="4">
        <v>38961</v>
      </c>
      <c r="B76" s="20">
        <v>63</v>
      </c>
      <c r="C76" s="20" t="s">
        <v>20</v>
      </c>
      <c r="D76" s="20">
        <v>72</v>
      </c>
      <c r="E76" s="20">
        <v>249</v>
      </c>
      <c r="F76" s="20">
        <v>174</v>
      </c>
      <c r="G76" s="20">
        <v>70</v>
      </c>
      <c r="H76" s="8">
        <v>102.05999999999999</v>
      </c>
    </row>
    <row r="77" spans="1:8" x14ac:dyDescent="0.3">
      <c r="A77" s="4">
        <v>38991</v>
      </c>
      <c r="B77" s="20">
        <v>58</v>
      </c>
      <c r="C77" s="20">
        <v>36</v>
      </c>
      <c r="D77" s="20">
        <v>55</v>
      </c>
      <c r="E77" s="20">
        <v>208</v>
      </c>
      <c r="F77" s="20">
        <v>151</v>
      </c>
      <c r="G77" s="20">
        <v>92</v>
      </c>
      <c r="H77" s="8">
        <v>95.18</v>
      </c>
    </row>
    <row r="78" spans="1:8" x14ac:dyDescent="0.3">
      <c r="A78" s="4">
        <v>39022</v>
      </c>
      <c r="B78" s="20">
        <v>102</v>
      </c>
      <c r="C78" s="20">
        <v>36</v>
      </c>
      <c r="D78" s="20">
        <v>82</v>
      </c>
      <c r="E78" s="20">
        <v>236</v>
      </c>
      <c r="F78" s="20">
        <v>186</v>
      </c>
      <c r="G78" s="20">
        <v>155</v>
      </c>
      <c r="H78" s="8">
        <v>103.97</v>
      </c>
    </row>
    <row r="79" spans="1:8" x14ac:dyDescent="0.3">
      <c r="A79" s="4">
        <v>39052</v>
      </c>
      <c r="B79" s="20">
        <v>354</v>
      </c>
      <c r="C79" s="20">
        <v>35</v>
      </c>
      <c r="D79" s="20">
        <v>258</v>
      </c>
      <c r="E79" s="20">
        <v>351</v>
      </c>
      <c r="F79" s="20">
        <v>290</v>
      </c>
      <c r="G79" s="20">
        <v>413</v>
      </c>
      <c r="H79" s="8">
        <v>31.54000000000002</v>
      </c>
    </row>
    <row r="80" spans="1:8" x14ac:dyDescent="0.3">
      <c r="A80" s="4">
        <v>39083</v>
      </c>
      <c r="B80" s="20">
        <v>545</v>
      </c>
      <c r="C80" s="20">
        <v>35</v>
      </c>
      <c r="D80" s="20">
        <v>422</v>
      </c>
      <c r="E80" s="20">
        <v>720</v>
      </c>
      <c r="F80" s="20">
        <v>498</v>
      </c>
      <c r="G80" s="20">
        <v>308</v>
      </c>
      <c r="H80" s="8">
        <v>75.410000000000025</v>
      </c>
    </row>
    <row r="81" spans="1:8" x14ac:dyDescent="0.3">
      <c r="A81" s="4">
        <v>39114</v>
      </c>
      <c r="B81" s="20">
        <v>574</v>
      </c>
      <c r="C81" s="20">
        <v>37</v>
      </c>
      <c r="D81" s="20">
        <v>404</v>
      </c>
      <c r="E81" s="20">
        <v>4144</v>
      </c>
      <c r="F81" s="20">
        <v>510</v>
      </c>
      <c r="G81" s="20">
        <v>153</v>
      </c>
      <c r="H81" s="8">
        <v>106.25</v>
      </c>
    </row>
    <row r="82" spans="1:8" x14ac:dyDescent="0.3">
      <c r="A82" s="4">
        <v>39142</v>
      </c>
      <c r="B82" s="20">
        <v>536</v>
      </c>
      <c r="C82" s="20">
        <v>38</v>
      </c>
      <c r="D82" s="20">
        <v>560</v>
      </c>
      <c r="E82" s="20">
        <v>5256</v>
      </c>
      <c r="F82" s="20">
        <v>642</v>
      </c>
      <c r="G82" s="20">
        <v>12</v>
      </c>
      <c r="H82" s="8">
        <v>82.88</v>
      </c>
    </row>
    <row r="83" spans="1:8" x14ac:dyDescent="0.3">
      <c r="A83" s="4">
        <v>39173</v>
      </c>
      <c r="B83" s="20">
        <v>562</v>
      </c>
      <c r="C83" s="20">
        <v>39</v>
      </c>
      <c r="D83" s="20">
        <v>545</v>
      </c>
      <c r="E83" s="20">
        <v>3851</v>
      </c>
      <c r="F83" s="20">
        <v>846</v>
      </c>
      <c r="G83" s="20">
        <v>8</v>
      </c>
      <c r="H83" s="8">
        <v>300.55000000000007</v>
      </c>
    </row>
    <row r="84" spans="1:8" x14ac:dyDescent="0.3">
      <c r="A84" s="4">
        <v>39203</v>
      </c>
      <c r="B84" s="20">
        <v>355</v>
      </c>
      <c r="C84" s="20">
        <v>37</v>
      </c>
      <c r="D84" s="20">
        <v>247</v>
      </c>
      <c r="E84" s="20">
        <v>2762</v>
      </c>
      <c r="F84" s="20">
        <v>497</v>
      </c>
      <c r="G84" s="20">
        <v>8</v>
      </c>
      <c r="H84" s="8">
        <v>250.12</v>
      </c>
    </row>
    <row r="85" spans="1:8" x14ac:dyDescent="0.3">
      <c r="A85" s="4">
        <v>39234</v>
      </c>
      <c r="B85" s="20">
        <v>216</v>
      </c>
      <c r="C85" s="20">
        <v>37</v>
      </c>
      <c r="D85" s="20">
        <v>142</v>
      </c>
      <c r="E85" s="20">
        <v>1435</v>
      </c>
      <c r="F85" s="20">
        <v>362</v>
      </c>
      <c r="G85" s="20">
        <v>8</v>
      </c>
      <c r="H85" s="8">
        <v>219.52</v>
      </c>
    </row>
    <row r="86" spans="1:8" x14ac:dyDescent="0.3">
      <c r="A86" s="4">
        <v>39264</v>
      </c>
      <c r="B86" s="20">
        <v>179</v>
      </c>
      <c r="C86" s="20">
        <v>36</v>
      </c>
      <c r="D86" s="20">
        <v>113</v>
      </c>
      <c r="E86" s="20">
        <v>736</v>
      </c>
      <c r="F86" s="20">
        <v>310</v>
      </c>
      <c r="G86" s="20">
        <v>8</v>
      </c>
      <c r="H86" s="8">
        <v>196.92000000000002</v>
      </c>
    </row>
    <row r="87" spans="1:8" x14ac:dyDescent="0.3">
      <c r="A87" s="4">
        <v>39295</v>
      </c>
      <c r="B87" s="20">
        <v>150</v>
      </c>
      <c r="C87" s="20">
        <v>35</v>
      </c>
      <c r="D87" s="20">
        <v>92</v>
      </c>
      <c r="E87" s="20">
        <v>464</v>
      </c>
      <c r="F87" s="20">
        <v>281</v>
      </c>
      <c r="G87" s="20">
        <v>8</v>
      </c>
      <c r="H87" s="8">
        <v>189.45</v>
      </c>
    </row>
    <row r="88" spans="1:8" x14ac:dyDescent="0.3">
      <c r="A88" s="4">
        <v>39326</v>
      </c>
      <c r="B88" s="20">
        <v>108</v>
      </c>
      <c r="C88" s="20">
        <v>34</v>
      </c>
      <c r="D88" s="20">
        <v>66</v>
      </c>
      <c r="E88" s="20">
        <v>334</v>
      </c>
      <c r="F88" s="20">
        <v>233</v>
      </c>
      <c r="G88" s="20">
        <v>8</v>
      </c>
      <c r="H88" s="8">
        <v>166.26</v>
      </c>
    </row>
    <row r="89" spans="1:8" x14ac:dyDescent="0.3">
      <c r="A89" s="4">
        <v>39356</v>
      </c>
      <c r="B89" s="20">
        <v>36</v>
      </c>
      <c r="C89" s="20">
        <v>34</v>
      </c>
      <c r="D89" s="20">
        <v>42</v>
      </c>
      <c r="E89" s="20">
        <v>267</v>
      </c>
      <c r="F89" s="20">
        <v>181</v>
      </c>
      <c r="G89" s="20">
        <v>8</v>
      </c>
      <c r="H89" s="8">
        <v>138.78</v>
      </c>
    </row>
    <row r="90" spans="1:8" x14ac:dyDescent="0.3">
      <c r="A90" s="4">
        <v>39387</v>
      </c>
      <c r="B90" s="20">
        <v>37</v>
      </c>
      <c r="C90" s="20">
        <v>33</v>
      </c>
      <c r="D90" s="20">
        <v>33</v>
      </c>
      <c r="E90" s="20">
        <v>261</v>
      </c>
      <c r="F90" s="20">
        <v>142</v>
      </c>
      <c r="G90" s="20">
        <v>8</v>
      </c>
      <c r="H90" s="8">
        <v>109.36000000000001</v>
      </c>
    </row>
    <row r="91" spans="1:8" x14ac:dyDescent="0.3">
      <c r="A91" s="4">
        <v>39417</v>
      </c>
      <c r="B91" s="20">
        <v>72</v>
      </c>
      <c r="C91" s="20">
        <v>35</v>
      </c>
      <c r="D91" s="20">
        <v>77</v>
      </c>
      <c r="E91" s="20">
        <v>367</v>
      </c>
      <c r="F91" s="20">
        <v>165</v>
      </c>
      <c r="G91" s="20">
        <v>8</v>
      </c>
      <c r="H91" s="8">
        <v>87.539999999999992</v>
      </c>
    </row>
    <row r="92" spans="1:8" x14ac:dyDescent="0.3">
      <c r="A92" s="4">
        <v>39448</v>
      </c>
      <c r="B92" s="20">
        <v>47</v>
      </c>
      <c r="C92" s="20">
        <v>41</v>
      </c>
      <c r="D92" s="20">
        <v>88</v>
      </c>
      <c r="E92" s="20">
        <v>827</v>
      </c>
      <c r="F92" s="20">
        <v>203</v>
      </c>
      <c r="G92" s="20">
        <v>8</v>
      </c>
      <c r="H92" s="8">
        <v>115.08999999999999</v>
      </c>
    </row>
    <row r="93" spans="1:8" x14ac:dyDescent="0.3">
      <c r="A93" s="4">
        <v>39479</v>
      </c>
      <c r="B93" s="20">
        <v>229</v>
      </c>
      <c r="C93" s="20">
        <v>54</v>
      </c>
      <c r="D93" s="20">
        <v>214</v>
      </c>
      <c r="E93" s="20">
        <v>2704</v>
      </c>
      <c r="F93" s="20">
        <v>357</v>
      </c>
      <c r="G93" s="20">
        <v>8</v>
      </c>
      <c r="H93" s="8">
        <v>143.65</v>
      </c>
    </row>
    <row r="94" spans="1:8" x14ac:dyDescent="0.3">
      <c r="A94" s="4">
        <v>39508</v>
      </c>
      <c r="B94" s="20">
        <v>740</v>
      </c>
      <c r="C94" s="20">
        <v>71</v>
      </c>
      <c r="D94" s="20">
        <v>321</v>
      </c>
      <c r="E94" s="20">
        <v>3586</v>
      </c>
      <c r="F94" s="20">
        <v>450</v>
      </c>
      <c r="G94" s="20">
        <v>8</v>
      </c>
      <c r="H94" s="8">
        <v>129.21999999999997</v>
      </c>
    </row>
    <row r="95" spans="1:8" x14ac:dyDescent="0.3">
      <c r="A95" s="4">
        <v>39539</v>
      </c>
      <c r="B95" s="20">
        <v>443</v>
      </c>
      <c r="C95" s="20">
        <v>58</v>
      </c>
      <c r="D95" s="20">
        <v>375</v>
      </c>
      <c r="E95" s="20">
        <v>3721</v>
      </c>
      <c r="F95" s="20">
        <v>563</v>
      </c>
      <c r="G95" s="20">
        <v>24</v>
      </c>
      <c r="H95" s="8">
        <v>187.53999999999996</v>
      </c>
    </row>
    <row r="96" spans="1:8" x14ac:dyDescent="0.3">
      <c r="A96" s="4">
        <v>39569</v>
      </c>
      <c r="B96" s="20">
        <v>266</v>
      </c>
      <c r="C96" s="20">
        <v>51</v>
      </c>
      <c r="D96" s="20">
        <v>261</v>
      </c>
      <c r="E96" s="20">
        <v>2569</v>
      </c>
      <c r="F96" s="20">
        <v>469</v>
      </c>
      <c r="G96" s="20">
        <v>19</v>
      </c>
      <c r="H96" s="8">
        <v>207.45</v>
      </c>
    </row>
    <row r="97" spans="1:8" x14ac:dyDescent="0.3">
      <c r="A97" s="4">
        <v>39600</v>
      </c>
      <c r="B97" s="20">
        <v>111</v>
      </c>
      <c r="C97" s="20">
        <v>62</v>
      </c>
      <c r="D97" s="20">
        <v>135</v>
      </c>
      <c r="E97" s="20">
        <v>1336</v>
      </c>
      <c r="F97" s="20">
        <v>310</v>
      </c>
      <c r="G97" s="20">
        <v>17</v>
      </c>
      <c r="H97" s="8">
        <v>175.18000000000004</v>
      </c>
    </row>
    <row r="98" spans="1:8" x14ac:dyDescent="0.3">
      <c r="A98" s="4">
        <v>39630</v>
      </c>
      <c r="B98" s="20">
        <v>76</v>
      </c>
      <c r="C98" s="20">
        <v>71</v>
      </c>
      <c r="D98" s="20">
        <v>97</v>
      </c>
      <c r="E98" s="20">
        <v>613</v>
      </c>
      <c r="F98" s="20">
        <v>249</v>
      </c>
      <c r="G98" s="20">
        <v>14</v>
      </c>
      <c r="H98" s="8">
        <v>151.1</v>
      </c>
    </row>
    <row r="99" spans="1:8" x14ac:dyDescent="0.3">
      <c r="A99" s="4">
        <v>39661</v>
      </c>
      <c r="B99" s="20">
        <v>78</v>
      </c>
      <c r="C99" s="20">
        <v>68</v>
      </c>
      <c r="D99" s="20">
        <v>76</v>
      </c>
      <c r="E99" s="20">
        <v>377</v>
      </c>
      <c r="F99" s="20">
        <v>196</v>
      </c>
      <c r="G99" s="20">
        <v>13</v>
      </c>
      <c r="H99" s="8">
        <v>120.46</v>
      </c>
    </row>
    <row r="100" spans="1:8" x14ac:dyDescent="0.3">
      <c r="A100" s="4">
        <v>39692</v>
      </c>
      <c r="B100" s="20">
        <v>51</v>
      </c>
      <c r="C100" s="20">
        <v>57</v>
      </c>
      <c r="D100" s="20">
        <v>52</v>
      </c>
      <c r="E100" s="20">
        <v>269</v>
      </c>
      <c r="F100" s="20">
        <v>158</v>
      </c>
      <c r="G100" s="20">
        <v>13</v>
      </c>
      <c r="H100" s="8">
        <v>106.43999999999998</v>
      </c>
    </row>
    <row r="101" spans="1:8" x14ac:dyDescent="0.3">
      <c r="A101" s="4">
        <v>39722</v>
      </c>
      <c r="B101" s="20">
        <v>34</v>
      </c>
      <c r="C101" s="20">
        <v>45</v>
      </c>
      <c r="D101" s="20">
        <v>34</v>
      </c>
      <c r="E101" s="20">
        <v>203</v>
      </c>
      <c r="F101" s="20">
        <v>125</v>
      </c>
      <c r="G101" s="20">
        <v>13</v>
      </c>
      <c r="H101" s="8">
        <v>91.12</v>
      </c>
    </row>
    <row r="102" spans="1:8" x14ac:dyDescent="0.3">
      <c r="A102" s="4">
        <v>39753</v>
      </c>
      <c r="B102" s="20">
        <v>37</v>
      </c>
      <c r="C102" s="20">
        <v>42</v>
      </c>
      <c r="D102" s="20">
        <v>39</v>
      </c>
      <c r="E102" s="20">
        <v>235</v>
      </c>
      <c r="F102" s="20">
        <v>128</v>
      </c>
      <c r="G102" s="20">
        <v>13</v>
      </c>
      <c r="H102" s="8">
        <v>89.31</v>
      </c>
    </row>
    <row r="103" spans="1:8" x14ac:dyDescent="0.3">
      <c r="A103" s="4">
        <v>39783</v>
      </c>
      <c r="B103" s="20">
        <v>180</v>
      </c>
      <c r="C103" s="20">
        <v>43</v>
      </c>
      <c r="D103" s="20">
        <v>181</v>
      </c>
      <c r="E103" s="20">
        <v>422</v>
      </c>
      <c r="F103" s="20">
        <v>263</v>
      </c>
      <c r="G103" s="20">
        <v>13</v>
      </c>
      <c r="H103" s="8">
        <v>81.460000000000008</v>
      </c>
    </row>
    <row r="104" spans="1:8" x14ac:dyDescent="0.3">
      <c r="A104" s="4">
        <v>39814</v>
      </c>
      <c r="B104" s="20">
        <v>393</v>
      </c>
      <c r="C104" s="20">
        <v>43</v>
      </c>
      <c r="D104" s="20">
        <v>329</v>
      </c>
      <c r="E104" s="20">
        <v>810</v>
      </c>
      <c r="F104" s="20">
        <v>480</v>
      </c>
      <c r="G104" s="20">
        <v>12</v>
      </c>
      <c r="H104" s="8">
        <v>150.46999999999997</v>
      </c>
    </row>
    <row r="105" spans="1:8" x14ac:dyDescent="0.3">
      <c r="A105" s="4">
        <v>39845</v>
      </c>
      <c r="B105" s="20">
        <v>234</v>
      </c>
      <c r="C105" s="20">
        <v>44</v>
      </c>
      <c r="D105" s="20">
        <v>325</v>
      </c>
      <c r="E105" s="20">
        <v>1768</v>
      </c>
      <c r="F105" s="20">
        <v>536</v>
      </c>
      <c r="G105" s="20">
        <v>58</v>
      </c>
      <c r="H105" s="8">
        <v>211.03000000000003</v>
      </c>
    </row>
    <row r="106" spans="1:8" x14ac:dyDescent="0.3">
      <c r="A106" s="4">
        <v>39873</v>
      </c>
      <c r="B106" s="20">
        <v>676</v>
      </c>
      <c r="C106" s="20">
        <v>49</v>
      </c>
      <c r="D106" s="20">
        <v>733</v>
      </c>
      <c r="E106" s="20">
        <v>5620</v>
      </c>
      <c r="F106" s="20">
        <v>1005</v>
      </c>
      <c r="G106" s="20">
        <v>719</v>
      </c>
      <c r="H106" s="8">
        <v>271.48</v>
      </c>
    </row>
    <row r="107" spans="1:8" x14ac:dyDescent="0.3">
      <c r="A107" s="4">
        <v>39904</v>
      </c>
      <c r="B107" s="20">
        <v>464</v>
      </c>
      <c r="C107" s="20">
        <v>52</v>
      </c>
      <c r="D107" s="20">
        <v>623</v>
      </c>
      <c r="E107" s="20">
        <v>5750</v>
      </c>
      <c r="F107" s="20">
        <v>942</v>
      </c>
      <c r="G107" s="20">
        <v>220</v>
      </c>
      <c r="H107" s="8">
        <v>319.33000000000004</v>
      </c>
    </row>
    <row r="108" spans="1:8" x14ac:dyDescent="0.3">
      <c r="A108" s="4">
        <v>39934</v>
      </c>
      <c r="B108" s="20">
        <v>276</v>
      </c>
      <c r="C108" s="20">
        <v>64</v>
      </c>
      <c r="D108" s="20">
        <v>345</v>
      </c>
      <c r="E108" s="20">
        <v>2797</v>
      </c>
      <c r="F108" s="20">
        <v>620</v>
      </c>
      <c r="G108" s="20">
        <v>47</v>
      </c>
      <c r="H108" s="8">
        <v>275.12</v>
      </c>
    </row>
    <row r="109" spans="1:8" x14ac:dyDescent="0.3">
      <c r="A109" s="4">
        <v>39965</v>
      </c>
      <c r="B109" s="20">
        <v>180</v>
      </c>
      <c r="C109" s="20">
        <v>86</v>
      </c>
      <c r="D109" s="20">
        <v>189</v>
      </c>
      <c r="E109" s="20">
        <v>1428</v>
      </c>
      <c r="F109" s="20">
        <v>374</v>
      </c>
      <c r="G109" s="20">
        <v>35</v>
      </c>
      <c r="H109" s="8">
        <v>185.00000000000003</v>
      </c>
    </row>
    <row r="110" spans="1:8" x14ac:dyDescent="0.3">
      <c r="A110" s="4">
        <v>39995</v>
      </c>
      <c r="B110" s="20">
        <v>123</v>
      </c>
      <c r="C110" s="20">
        <v>80</v>
      </c>
      <c r="D110" s="20">
        <v>132</v>
      </c>
      <c r="E110" s="20">
        <v>705</v>
      </c>
      <c r="F110" s="20">
        <v>262</v>
      </c>
      <c r="G110" s="20">
        <v>82</v>
      </c>
      <c r="H110" s="8">
        <v>130.30000000000001</v>
      </c>
    </row>
    <row r="111" spans="1:8" x14ac:dyDescent="0.3">
      <c r="A111" s="4">
        <v>40026</v>
      </c>
      <c r="B111" s="20">
        <v>62</v>
      </c>
      <c r="C111" s="20">
        <v>72</v>
      </c>
      <c r="D111" s="20">
        <v>104</v>
      </c>
      <c r="E111" s="20">
        <v>436</v>
      </c>
      <c r="F111" s="20">
        <v>221</v>
      </c>
      <c r="G111" s="20">
        <v>44</v>
      </c>
      <c r="H111" s="8">
        <v>117.05000000000001</v>
      </c>
    </row>
    <row r="112" spans="1:8" x14ac:dyDescent="0.3">
      <c r="A112" s="4">
        <v>40057</v>
      </c>
      <c r="B112" s="20">
        <v>28</v>
      </c>
      <c r="C112" s="20">
        <v>63</v>
      </c>
      <c r="D112" s="20">
        <v>75</v>
      </c>
      <c r="E112" s="20">
        <v>314</v>
      </c>
      <c r="F112" s="20">
        <v>194</v>
      </c>
      <c r="G112" s="20">
        <v>19</v>
      </c>
      <c r="H112" s="8">
        <v>119.37</v>
      </c>
    </row>
    <row r="113" spans="1:8" x14ac:dyDescent="0.3">
      <c r="A113" s="4">
        <v>40087</v>
      </c>
      <c r="B113" s="20">
        <v>25</v>
      </c>
      <c r="C113" s="20">
        <v>56</v>
      </c>
      <c r="D113" s="20">
        <v>58</v>
      </c>
      <c r="E113" s="20">
        <v>255</v>
      </c>
      <c r="F113" s="20">
        <v>169</v>
      </c>
      <c r="G113" s="20">
        <v>19</v>
      </c>
      <c r="H113" s="8">
        <v>111.24</v>
      </c>
    </row>
    <row r="114" spans="1:8" x14ac:dyDescent="0.3">
      <c r="A114" s="4">
        <v>40118</v>
      </c>
      <c r="B114" s="20">
        <v>35</v>
      </c>
      <c r="C114" s="20">
        <v>45</v>
      </c>
      <c r="D114" s="20">
        <v>66</v>
      </c>
      <c r="E114" s="20">
        <v>265</v>
      </c>
      <c r="F114" s="20">
        <v>169</v>
      </c>
      <c r="G114" s="20">
        <v>225</v>
      </c>
      <c r="H114" s="8">
        <v>102.87999999999998</v>
      </c>
    </row>
    <row r="115" spans="1:8" x14ac:dyDescent="0.3">
      <c r="A115" s="4">
        <v>40148</v>
      </c>
      <c r="B115" s="20">
        <v>43</v>
      </c>
      <c r="C115" s="20">
        <v>43</v>
      </c>
      <c r="D115" s="20">
        <v>107</v>
      </c>
      <c r="E115" s="20">
        <v>424</v>
      </c>
      <c r="F115" s="20">
        <v>193</v>
      </c>
      <c r="G115" s="20">
        <v>197</v>
      </c>
      <c r="H115" s="8">
        <v>85.039999999999992</v>
      </c>
    </row>
    <row r="116" spans="1:8" x14ac:dyDescent="0.3">
      <c r="A116" s="4">
        <v>40179</v>
      </c>
      <c r="B116" s="20">
        <v>191</v>
      </c>
      <c r="C116" s="20">
        <v>42</v>
      </c>
      <c r="D116" s="20">
        <v>441</v>
      </c>
      <c r="E116" s="20">
        <v>766</v>
      </c>
      <c r="F116" s="20">
        <v>423</v>
      </c>
      <c r="G116" s="20">
        <v>43</v>
      </c>
    </row>
    <row r="117" spans="1:8" x14ac:dyDescent="0.3">
      <c r="A117" s="4">
        <v>40210</v>
      </c>
      <c r="B117" s="20">
        <v>287</v>
      </c>
      <c r="C117" s="20" t="s">
        <v>20</v>
      </c>
      <c r="D117" s="20">
        <v>479</v>
      </c>
      <c r="E117" s="20">
        <v>1866</v>
      </c>
      <c r="F117" s="20">
        <v>702</v>
      </c>
      <c r="G117" s="20" t="s">
        <v>20</v>
      </c>
      <c r="H117" s="8">
        <v>222.81</v>
      </c>
    </row>
    <row r="118" spans="1:8" x14ac:dyDescent="0.3">
      <c r="A118" s="4">
        <v>40238</v>
      </c>
      <c r="B118" s="20">
        <v>457</v>
      </c>
      <c r="C118" s="20" t="s">
        <v>20</v>
      </c>
      <c r="D118" s="20">
        <v>536</v>
      </c>
      <c r="E118" s="20">
        <v>5407</v>
      </c>
      <c r="F118" s="20">
        <v>640</v>
      </c>
      <c r="G118" s="20">
        <v>373</v>
      </c>
      <c r="H118" s="8">
        <v>104.61000000000001</v>
      </c>
    </row>
    <row r="119" spans="1:8" x14ac:dyDescent="0.3">
      <c r="A119" s="4">
        <v>40269</v>
      </c>
      <c r="B119" s="20">
        <v>831</v>
      </c>
      <c r="C119" s="20">
        <v>43</v>
      </c>
      <c r="D119" s="20">
        <v>803</v>
      </c>
      <c r="E119" s="20">
        <v>5666</v>
      </c>
      <c r="F119" s="20">
        <v>1170</v>
      </c>
      <c r="G119" s="20">
        <v>389</v>
      </c>
      <c r="H119" s="8">
        <v>366.63</v>
      </c>
    </row>
    <row r="120" spans="1:8" x14ac:dyDescent="0.3">
      <c r="A120" s="4">
        <v>40299</v>
      </c>
      <c r="B120" s="20">
        <v>456</v>
      </c>
      <c r="C120" s="20">
        <v>45</v>
      </c>
      <c r="D120" s="20">
        <v>525</v>
      </c>
      <c r="E120" s="20">
        <v>4616</v>
      </c>
      <c r="F120" s="20">
        <v>884</v>
      </c>
      <c r="G120" s="20">
        <v>139</v>
      </c>
      <c r="H120" s="8">
        <v>359</v>
      </c>
    </row>
    <row r="121" spans="1:8" x14ac:dyDescent="0.3">
      <c r="A121" s="4">
        <v>40330</v>
      </c>
      <c r="B121" s="20">
        <v>174</v>
      </c>
      <c r="C121" s="20">
        <v>51</v>
      </c>
      <c r="D121" s="20">
        <v>261</v>
      </c>
      <c r="E121" s="20">
        <v>2180</v>
      </c>
      <c r="F121" s="20">
        <v>510</v>
      </c>
      <c r="G121" s="20">
        <v>88</v>
      </c>
      <c r="H121" s="8">
        <v>248.26999999999998</v>
      </c>
    </row>
    <row r="122" spans="1:8" x14ac:dyDescent="0.3">
      <c r="A122" s="4">
        <v>40360</v>
      </c>
      <c r="B122" s="20">
        <v>107</v>
      </c>
      <c r="C122" s="20">
        <v>74</v>
      </c>
      <c r="D122" s="20">
        <v>187</v>
      </c>
      <c r="E122" s="20">
        <v>1095</v>
      </c>
      <c r="F122" s="20">
        <v>372</v>
      </c>
      <c r="G122" s="20">
        <v>75</v>
      </c>
      <c r="H122" s="8">
        <v>184.6</v>
      </c>
    </row>
    <row r="123" spans="1:8" x14ac:dyDescent="0.3">
      <c r="A123" s="4">
        <v>40391</v>
      </c>
      <c r="B123" s="20">
        <v>80</v>
      </c>
      <c r="C123" s="20">
        <v>73</v>
      </c>
      <c r="D123" s="20">
        <v>139</v>
      </c>
      <c r="E123" s="20">
        <v>624</v>
      </c>
      <c r="F123" s="20">
        <v>286</v>
      </c>
      <c r="G123" s="20">
        <v>59</v>
      </c>
      <c r="H123" s="8">
        <v>147.32999999999998</v>
      </c>
    </row>
    <row r="124" spans="1:8" x14ac:dyDescent="0.3">
      <c r="A124" s="4">
        <v>40422</v>
      </c>
      <c r="B124" s="20">
        <v>37</v>
      </c>
      <c r="C124" s="20">
        <v>65</v>
      </c>
      <c r="D124" s="20">
        <v>98</v>
      </c>
      <c r="E124" s="20">
        <v>423</v>
      </c>
      <c r="F124" s="20">
        <v>223</v>
      </c>
      <c r="G124" s="20">
        <v>47</v>
      </c>
      <c r="H124" s="8">
        <v>124.31</v>
      </c>
    </row>
    <row r="125" spans="1:8" x14ac:dyDescent="0.3">
      <c r="A125" s="4">
        <v>40452</v>
      </c>
      <c r="B125" s="20">
        <v>32</v>
      </c>
      <c r="C125" s="20">
        <v>53</v>
      </c>
      <c r="D125" s="20">
        <v>63</v>
      </c>
      <c r="E125" s="20">
        <v>306</v>
      </c>
      <c r="F125" s="20">
        <v>171</v>
      </c>
      <c r="G125" s="20">
        <v>37</v>
      </c>
      <c r="H125" s="8">
        <v>107.74</v>
      </c>
    </row>
    <row r="126" spans="1:8" x14ac:dyDescent="0.3">
      <c r="A126" s="4">
        <v>40483</v>
      </c>
      <c r="B126" s="20">
        <v>22</v>
      </c>
      <c r="C126" s="20">
        <v>45</v>
      </c>
      <c r="D126" s="20">
        <v>51</v>
      </c>
      <c r="E126" s="20">
        <v>271</v>
      </c>
      <c r="F126" s="20">
        <v>147</v>
      </c>
      <c r="G126" s="20">
        <v>31</v>
      </c>
      <c r="H126" s="8">
        <v>95.68</v>
      </c>
    </row>
    <row r="127" spans="1:8" x14ac:dyDescent="0.3">
      <c r="A127" s="4">
        <v>40513</v>
      </c>
      <c r="B127" s="20">
        <v>170</v>
      </c>
      <c r="C127" s="20">
        <v>42</v>
      </c>
      <c r="D127" s="20">
        <v>215</v>
      </c>
      <c r="E127" s="20">
        <v>404</v>
      </c>
      <c r="F127" s="20">
        <v>303</v>
      </c>
      <c r="G127" s="20">
        <v>84</v>
      </c>
      <c r="H127" s="8">
        <v>87.510000000000019</v>
      </c>
    </row>
    <row r="128" spans="1:8" x14ac:dyDescent="0.3">
      <c r="A128" s="4">
        <v>40544</v>
      </c>
      <c r="B128" s="20">
        <v>598</v>
      </c>
      <c r="C128" s="20">
        <v>39</v>
      </c>
      <c r="D128" s="20">
        <v>535</v>
      </c>
      <c r="E128" s="20">
        <v>1335</v>
      </c>
      <c r="F128" s="20">
        <v>643</v>
      </c>
      <c r="G128" s="20" t="s">
        <v>20</v>
      </c>
      <c r="H128" s="8">
        <v>108.65999999999997</v>
      </c>
    </row>
    <row r="129" spans="1:8" x14ac:dyDescent="0.3">
      <c r="A129" s="4">
        <v>40575</v>
      </c>
      <c r="B129" s="20">
        <v>595</v>
      </c>
      <c r="C129" s="20">
        <v>44</v>
      </c>
      <c r="D129" s="20">
        <v>436</v>
      </c>
      <c r="E129" s="20">
        <v>3437</v>
      </c>
      <c r="F129" s="20">
        <v>552</v>
      </c>
      <c r="G129" s="20" t="s">
        <v>20</v>
      </c>
      <c r="H129" s="8">
        <v>115.47000000000003</v>
      </c>
    </row>
    <row r="130" spans="1:8" x14ac:dyDescent="0.3">
      <c r="A130" s="4">
        <v>40603</v>
      </c>
      <c r="B130" s="20">
        <v>1434</v>
      </c>
      <c r="C130" s="20">
        <v>51</v>
      </c>
      <c r="D130" s="20">
        <v>712</v>
      </c>
      <c r="E130" s="20">
        <v>4686</v>
      </c>
      <c r="F130" s="20">
        <v>821</v>
      </c>
      <c r="G130" s="20">
        <v>861</v>
      </c>
      <c r="H130" s="8">
        <v>108.44000000000005</v>
      </c>
    </row>
    <row r="131" spans="1:8" x14ac:dyDescent="0.3">
      <c r="A131" s="4">
        <v>40634</v>
      </c>
      <c r="B131" s="20">
        <v>1403</v>
      </c>
      <c r="C131" s="20">
        <v>50</v>
      </c>
      <c r="D131" s="20">
        <v>757</v>
      </c>
      <c r="E131" s="20">
        <v>5332</v>
      </c>
      <c r="F131" s="20">
        <v>858</v>
      </c>
      <c r="G131" s="20">
        <v>943</v>
      </c>
      <c r="H131" s="8">
        <v>101.24000000000001</v>
      </c>
    </row>
    <row r="132" spans="1:8" x14ac:dyDescent="0.3">
      <c r="A132" s="4">
        <v>40664</v>
      </c>
      <c r="B132" s="20">
        <v>920</v>
      </c>
      <c r="C132" s="20">
        <v>44</v>
      </c>
      <c r="D132" s="20">
        <v>522</v>
      </c>
      <c r="E132" s="20">
        <v>4133</v>
      </c>
      <c r="F132" s="20">
        <v>626</v>
      </c>
      <c r="G132" s="20">
        <v>749</v>
      </c>
      <c r="H132" s="8">
        <v>103.73000000000002</v>
      </c>
    </row>
    <row r="133" spans="1:8" x14ac:dyDescent="0.3">
      <c r="A133" s="4">
        <v>40695</v>
      </c>
      <c r="B133" s="20">
        <v>312</v>
      </c>
      <c r="C133" s="20">
        <v>42</v>
      </c>
      <c r="D133" s="20">
        <v>275</v>
      </c>
      <c r="E133" s="20">
        <v>1918</v>
      </c>
      <c r="F133" s="20">
        <v>448</v>
      </c>
      <c r="G133" s="20">
        <v>756</v>
      </c>
      <c r="H133" s="8">
        <v>172.82</v>
      </c>
    </row>
    <row r="134" spans="1:8" x14ac:dyDescent="0.3">
      <c r="A134" s="4">
        <v>40725</v>
      </c>
      <c r="B134" s="20">
        <v>208</v>
      </c>
      <c r="C134" s="20">
        <v>46</v>
      </c>
      <c r="D134" s="20">
        <v>198</v>
      </c>
      <c r="E134" s="20">
        <v>950</v>
      </c>
      <c r="F134" s="20">
        <v>366</v>
      </c>
      <c r="G134" s="20">
        <v>342</v>
      </c>
      <c r="H134" s="8">
        <v>167.95000000000002</v>
      </c>
    </row>
    <row r="135" spans="1:8" x14ac:dyDescent="0.3">
      <c r="A135" s="4">
        <v>40756</v>
      </c>
      <c r="B135" s="20">
        <v>143</v>
      </c>
      <c r="C135" s="20">
        <v>54</v>
      </c>
      <c r="D135" s="20">
        <v>162</v>
      </c>
      <c r="E135" s="20">
        <v>570</v>
      </c>
      <c r="F135" s="20">
        <v>300</v>
      </c>
      <c r="G135" s="20">
        <v>134</v>
      </c>
      <c r="H135" s="8">
        <v>137.85</v>
      </c>
    </row>
    <row r="136" spans="1:8" x14ac:dyDescent="0.3">
      <c r="A136" s="4">
        <v>40787</v>
      </c>
      <c r="B136" s="20">
        <v>93</v>
      </c>
      <c r="C136" s="20">
        <v>55</v>
      </c>
      <c r="D136" s="20">
        <v>113</v>
      </c>
      <c r="E136" s="20">
        <v>393</v>
      </c>
      <c r="F136" s="20">
        <v>245</v>
      </c>
      <c r="G136" s="20">
        <v>93</v>
      </c>
      <c r="H136" s="8">
        <v>131.41000000000003</v>
      </c>
    </row>
    <row r="137" spans="1:8" x14ac:dyDescent="0.3">
      <c r="A137" s="4">
        <v>40817</v>
      </c>
      <c r="B137" s="20">
        <v>52</v>
      </c>
      <c r="C137" s="20">
        <v>49</v>
      </c>
      <c r="D137" s="20">
        <v>71</v>
      </c>
      <c r="E137" s="20">
        <v>302</v>
      </c>
      <c r="F137" s="20">
        <v>214</v>
      </c>
      <c r="G137" s="20">
        <v>39</v>
      </c>
      <c r="H137" s="8">
        <v>143.16999999999999</v>
      </c>
    </row>
    <row r="138" spans="1:8" x14ac:dyDescent="0.3">
      <c r="A138" s="4">
        <v>40848</v>
      </c>
      <c r="B138" s="20">
        <v>60</v>
      </c>
      <c r="C138" s="20">
        <v>42</v>
      </c>
      <c r="D138" s="20">
        <v>55</v>
      </c>
      <c r="E138" s="20">
        <v>301</v>
      </c>
      <c r="F138" s="20">
        <v>195</v>
      </c>
      <c r="G138" s="20">
        <v>13</v>
      </c>
      <c r="H138" s="8">
        <v>140.44999999999999</v>
      </c>
    </row>
    <row r="139" spans="1:8" x14ac:dyDescent="0.3">
      <c r="A139" s="4">
        <v>40878</v>
      </c>
      <c r="B139" s="20">
        <v>243</v>
      </c>
      <c r="C139" s="20">
        <v>44</v>
      </c>
      <c r="D139" s="20">
        <v>267</v>
      </c>
      <c r="E139" s="20">
        <v>450</v>
      </c>
      <c r="F139" s="20">
        <v>390</v>
      </c>
      <c r="G139" s="20">
        <v>12</v>
      </c>
      <c r="H139" s="8">
        <v>123.88</v>
      </c>
    </row>
    <row r="140" spans="1:8" x14ac:dyDescent="0.3">
      <c r="A140" s="4">
        <v>40909</v>
      </c>
      <c r="B140" s="20">
        <v>242</v>
      </c>
      <c r="C140" s="20">
        <v>43</v>
      </c>
      <c r="D140" s="20">
        <v>390</v>
      </c>
      <c r="E140" s="20">
        <v>808</v>
      </c>
      <c r="F140" s="20">
        <v>666</v>
      </c>
      <c r="G140" s="20">
        <v>10</v>
      </c>
      <c r="H140" s="8">
        <v>276.15000000000003</v>
      </c>
    </row>
    <row r="141" spans="1:8" x14ac:dyDescent="0.3">
      <c r="A141" s="4">
        <v>40940</v>
      </c>
      <c r="B141" s="20">
        <v>325</v>
      </c>
      <c r="C141" s="20">
        <v>51</v>
      </c>
      <c r="D141" s="20">
        <v>438</v>
      </c>
      <c r="E141" s="20">
        <v>1799</v>
      </c>
      <c r="F141" s="20">
        <v>656</v>
      </c>
      <c r="G141" s="20">
        <v>70</v>
      </c>
      <c r="H141" s="8">
        <v>218.06000000000006</v>
      </c>
    </row>
    <row r="142" spans="1:8" x14ac:dyDescent="0.3">
      <c r="A142" s="4">
        <v>40969</v>
      </c>
      <c r="B142" s="20">
        <v>460</v>
      </c>
      <c r="C142" s="20">
        <v>49</v>
      </c>
      <c r="D142" s="20">
        <v>504</v>
      </c>
      <c r="E142" s="20">
        <v>2864</v>
      </c>
      <c r="F142" s="20">
        <v>612</v>
      </c>
      <c r="G142" s="20">
        <v>83</v>
      </c>
      <c r="H142" s="8">
        <v>107.44999999999999</v>
      </c>
    </row>
    <row r="143" spans="1:8" x14ac:dyDescent="0.3">
      <c r="A143" s="4">
        <v>41000</v>
      </c>
      <c r="B143" s="20">
        <v>510</v>
      </c>
      <c r="C143" s="20">
        <v>44</v>
      </c>
      <c r="D143" s="20">
        <v>529</v>
      </c>
      <c r="E143" s="20">
        <v>3950</v>
      </c>
      <c r="F143" s="20">
        <v>861</v>
      </c>
      <c r="G143" s="20">
        <v>96</v>
      </c>
      <c r="H143" s="8">
        <v>331.81999999999994</v>
      </c>
    </row>
    <row r="144" spans="1:8" x14ac:dyDescent="0.3">
      <c r="A144" s="4">
        <v>41030</v>
      </c>
      <c r="B144" s="20">
        <v>177</v>
      </c>
      <c r="C144" s="20" t="s">
        <v>20</v>
      </c>
      <c r="D144" s="20">
        <v>217</v>
      </c>
      <c r="E144" s="20">
        <v>3222</v>
      </c>
      <c r="F144" s="20">
        <v>443</v>
      </c>
      <c r="G144" s="20">
        <v>82</v>
      </c>
      <c r="H144" s="8">
        <v>225.72</v>
      </c>
    </row>
    <row r="145" spans="1:8" x14ac:dyDescent="0.3">
      <c r="A145" s="4">
        <v>41061</v>
      </c>
      <c r="B145" s="20">
        <v>101</v>
      </c>
      <c r="C145" s="20" t="s">
        <v>20</v>
      </c>
      <c r="D145" s="20">
        <v>139</v>
      </c>
      <c r="E145" s="20">
        <v>1427</v>
      </c>
      <c r="F145" s="20">
        <v>324</v>
      </c>
      <c r="G145" s="20">
        <v>71</v>
      </c>
      <c r="H145" s="8">
        <v>184.46</v>
      </c>
    </row>
    <row r="146" spans="1:8" x14ac:dyDescent="0.3">
      <c r="A146" s="4">
        <v>41091</v>
      </c>
      <c r="B146" s="20">
        <v>74</v>
      </c>
      <c r="C146" s="20" t="s">
        <v>20</v>
      </c>
      <c r="D146" s="20">
        <v>117</v>
      </c>
      <c r="E146" s="20">
        <v>663</v>
      </c>
      <c r="F146" s="20">
        <v>253</v>
      </c>
      <c r="G146" s="20">
        <v>62</v>
      </c>
      <c r="H146" s="8">
        <v>136.82</v>
      </c>
    </row>
    <row r="147" spans="1:8" x14ac:dyDescent="0.3">
      <c r="A147" s="4">
        <v>41122</v>
      </c>
      <c r="B147" s="20">
        <v>71</v>
      </c>
      <c r="C147" s="20" t="s">
        <v>20</v>
      </c>
      <c r="D147" s="20">
        <v>88</v>
      </c>
      <c r="E147" s="20">
        <v>452</v>
      </c>
      <c r="F147" s="20">
        <v>217</v>
      </c>
      <c r="G147" s="20">
        <v>56</v>
      </c>
      <c r="H147" s="8">
        <v>128.88999999999999</v>
      </c>
    </row>
    <row r="148" spans="1:8" x14ac:dyDescent="0.3">
      <c r="A148" s="4">
        <v>41153</v>
      </c>
      <c r="B148" s="20">
        <v>71</v>
      </c>
      <c r="C148" s="20" t="s">
        <v>20</v>
      </c>
      <c r="D148" s="20">
        <v>66</v>
      </c>
      <c r="E148" s="20">
        <v>367</v>
      </c>
      <c r="F148" s="20">
        <v>183</v>
      </c>
      <c r="G148" s="20">
        <v>72</v>
      </c>
      <c r="H148" s="8">
        <v>117.03999999999999</v>
      </c>
    </row>
    <row r="149" spans="1:8" x14ac:dyDescent="0.3">
      <c r="A149" s="4">
        <v>41183</v>
      </c>
      <c r="B149" s="20">
        <v>53</v>
      </c>
      <c r="C149" s="20" t="s">
        <v>20</v>
      </c>
      <c r="D149" s="20">
        <v>47</v>
      </c>
      <c r="E149" s="20">
        <v>306</v>
      </c>
      <c r="F149" s="20">
        <v>151</v>
      </c>
      <c r="G149" s="20">
        <v>77</v>
      </c>
      <c r="H149" s="8">
        <v>103.41</v>
      </c>
    </row>
    <row r="150" spans="1:8" x14ac:dyDescent="0.3">
      <c r="A150" s="4">
        <v>41214</v>
      </c>
      <c r="B150" s="20">
        <v>60</v>
      </c>
      <c r="C150" s="20" t="s">
        <v>20</v>
      </c>
      <c r="D150" s="20">
        <v>58</v>
      </c>
      <c r="E150" s="20">
        <v>283</v>
      </c>
      <c r="F150" s="20">
        <v>161</v>
      </c>
      <c r="G150" s="20">
        <v>43</v>
      </c>
      <c r="H150" s="8">
        <v>103</v>
      </c>
    </row>
    <row r="151" spans="1:8" x14ac:dyDescent="0.3">
      <c r="A151" s="4">
        <v>41244</v>
      </c>
      <c r="B151" s="20">
        <v>153</v>
      </c>
      <c r="C151" s="20" t="s">
        <v>20</v>
      </c>
      <c r="D151" s="20">
        <v>152</v>
      </c>
      <c r="E151" s="20">
        <v>425</v>
      </c>
      <c r="F151" s="20">
        <v>242</v>
      </c>
      <c r="G151" s="20">
        <v>68</v>
      </c>
      <c r="H151" s="8">
        <v>90.47999999999999</v>
      </c>
    </row>
    <row r="152" spans="1:8" x14ac:dyDescent="0.3">
      <c r="A152" s="4">
        <v>41275</v>
      </c>
      <c r="B152" s="20">
        <v>181</v>
      </c>
      <c r="C152" s="20" t="s">
        <v>20</v>
      </c>
      <c r="D152" s="20">
        <v>287</v>
      </c>
      <c r="E152" s="20">
        <v>1216</v>
      </c>
      <c r="F152" s="20">
        <v>406</v>
      </c>
      <c r="G152" s="20">
        <v>118</v>
      </c>
      <c r="H152" s="8">
        <v>118.82999999999998</v>
      </c>
    </row>
    <row r="153" spans="1:8" x14ac:dyDescent="0.3">
      <c r="A153" s="4">
        <v>41306</v>
      </c>
      <c r="B153" s="20">
        <v>152</v>
      </c>
      <c r="C153" s="20">
        <v>38</v>
      </c>
      <c r="D153" s="20">
        <v>286</v>
      </c>
      <c r="E153" s="20">
        <v>3776</v>
      </c>
      <c r="F153" s="20">
        <v>426</v>
      </c>
      <c r="G153" s="20">
        <v>113</v>
      </c>
      <c r="H153" s="8">
        <v>139.94999999999999</v>
      </c>
    </row>
    <row r="154" spans="1:8" x14ac:dyDescent="0.3">
      <c r="A154" s="4">
        <v>41334</v>
      </c>
      <c r="B154" s="20">
        <v>185</v>
      </c>
      <c r="C154" s="20">
        <v>37</v>
      </c>
      <c r="D154" s="20">
        <v>420</v>
      </c>
      <c r="E154" s="20">
        <v>4191</v>
      </c>
      <c r="F154" s="20">
        <v>582</v>
      </c>
      <c r="G154" s="20">
        <v>65</v>
      </c>
      <c r="H154" s="8">
        <v>161.52000000000004</v>
      </c>
    </row>
    <row r="155" spans="1:8" x14ac:dyDescent="0.3">
      <c r="A155" s="4">
        <v>41365</v>
      </c>
      <c r="B155" s="20">
        <v>259</v>
      </c>
      <c r="C155" s="20">
        <v>38</v>
      </c>
      <c r="D155" s="20">
        <v>366</v>
      </c>
      <c r="E155" s="20">
        <v>3636</v>
      </c>
      <c r="F155" s="20">
        <v>557</v>
      </c>
      <c r="G155" s="20">
        <v>59</v>
      </c>
      <c r="H155" s="8">
        <v>190.95999999999998</v>
      </c>
    </row>
    <row r="156" spans="1:8" x14ac:dyDescent="0.3">
      <c r="A156" s="4">
        <v>41395</v>
      </c>
      <c r="B156" s="20">
        <v>114</v>
      </c>
      <c r="C156" s="20">
        <v>61</v>
      </c>
      <c r="D156" s="20">
        <v>208</v>
      </c>
      <c r="E156" s="20">
        <v>2415</v>
      </c>
      <c r="F156" s="20">
        <v>413</v>
      </c>
      <c r="G156" s="20">
        <v>18</v>
      </c>
      <c r="H156" s="8">
        <v>205.10999999999999</v>
      </c>
    </row>
    <row r="157" spans="1:8" x14ac:dyDescent="0.3">
      <c r="A157" s="4">
        <v>41426</v>
      </c>
      <c r="B157" s="20">
        <v>89</v>
      </c>
      <c r="C157" s="20">
        <v>67</v>
      </c>
      <c r="D157" s="20">
        <v>115</v>
      </c>
      <c r="E157" s="20">
        <v>1075</v>
      </c>
      <c r="F157" s="20">
        <v>269</v>
      </c>
      <c r="G157" s="20">
        <v>44</v>
      </c>
      <c r="H157" s="8">
        <v>153.47</v>
      </c>
    </row>
    <row r="158" spans="1:8" x14ac:dyDescent="0.3">
      <c r="A158" s="4">
        <v>41456</v>
      </c>
      <c r="B158" s="20">
        <v>79</v>
      </c>
      <c r="C158" s="20">
        <v>62</v>
      </c>
      <c r="D158" s="20">
        <v>92</v>
      </c>
      <c r="E158" s="20">
        <v>546</v>
      </c>
      <c r="F158" s="20">
        <v>224</v>
      </c>
      <c r="G158" s="20">
        <v>36</v>
      </c>
      <c r="H158" s="8">
        <v>131.41000000000003</v>
      </c>
    </row>
    <row r="159" spans="1:8" x14ac:dyDescent="0.3">
      <c r="A159" s="4">
        <v>41487</v>
      </c>
      <c r="B159" s="20">
        <v>73</v>
      </c>
      <c r="C159" s="20">
        <v>52</v>
      </c>
      <c r="D159" s="20">
        <v>74</v>
      </c>
      <c r="E159" s="20">
        <v>394</v>
      </c>
      <c r="F159" s="20">
        <v>196</v>
      </c>
      <c r="G159" s="20">
        <v>11</v>
      </c>
      <c r="H159" s="8">
        <v>122.31</v>
      </c>
    </row>
    <row r="160" spans="1:8" x14ac:dyDescent="0.3">
      <c r="A160" s="4">
        <v>41518</v>
      </c>
      <c r="B160" s="20">
        <v>72</v>
      </c>
      <c r="C160" s="20">
        <v>43</v>
      </c>
      <c r="D160" s="20">
        <v>53</v>
      </c>
      <c r="E160" s="20">
        <v>303</v>
      </c>
      <c r="F160" s="20">
        <v>169</v>
      </c>
      <c r="G160" s="20">
        <v>8</v>
      </c>
      <c r="H160" s="8">
        <v>116.22</v>
      </c>
    </row>
    <row r="161" spans="1:8" x14ac:dyDescent="0.3">
      <c r="A161" s="4">
        <v>41548</v>
      </c>
      <c r="B161" s="20">
        <v>57</v>
      </c>
      <c r="C161" s="20">
        <v>35</v>
      </c>
      <c r="D161" s="20">
        <v>33</v>
      </c>
      <c r="E161" s="20">
        <v>244</v>
      </c>
      <c r="F161" s="20">
        <v>132</v>
      </c>
      <c r="G161" s="20">
        <v>10</v>
      </c>
      <c r="H161" s="8">
        <v>98.24</v>
      </c>
    </row>
    <row r="162" spans="1:8" x14ac:dyDescent="0.3">
      <c r="A162" s="4">
        <v>41579</v>
      </c>
      <c r="B162" s="20">
        <v>64</v>
      </c>
      <c r="C162" s="20">
        <v>29</v>
      </c>
      <c r="D162" s="20">
        <v>34</v>
      </c>
      <c r="E162" s="20">
        <v>243</v>
      </c>
      <c r="F162" s="20">
        <v>122</v>
      </c>
      <c r="G162" s="20">
        <v>11</v>
      </c>
      <c r="H162" s="8">
        <v>88.179999999999993</v>
      </c>
    </row>
    <row r="163" spans="1:8" x14ac:dyDescent="0.3">
      <c r="A163" s="4">
        <v>41609</v>
      </c>
      <c r="B163" s="20">
        <v>232</v>
      </c>
      <c r="C163" s="20">
        <v>32</v>
      </c>
      <c r="D163" s="20">
        <v>133</v>
      </c>
      <c r="E163" s="20">
        <v>409</v>
      </c>
      <c r="F163" s="20">
        <v>219</v>
      </c>
      <c r="G163" s="20">
        <v>44</v>
      </c>
      <c r="H163" s="8">
        <v>85.949999999999989</v>
      </c>
    </row>
    <row r="164" spans="1:8" x14ac:dyDescent="0.3">
      <c r="A164" s="4">
        <v>41640</v>
      </c>
      <c r="B164" s="20">
        <v>167</v>
      </c>
      <c r="C164" s="20">
        <v>40</v>
      </c>
      <c r="D164" s="20">
        <v>167</v>
      </c>
      <c r="E164" s="20">
        <v>725</v>
      </c>
      <c r="F164" s="20">
        <v>287</v>
      </c>
      <c r="G164" s="20">
        <v>17</v>
      </c>
      <c r="H164" s="8">
        <v>120.19999999999999</v>
      </c>
    </row>
    <row r="165" spans="1:8" x14ac:dyDescent="0.3">
      <c r="A165" s="4">
        <v>41671</v>
      </c>
      <c r="B165" s="20">
        <v>143</v>
      </c>
      <c r="C165" s="20">
        <v>38</v>
      </c>
      <c r="D165" s="20">
        <v>203</v>
      </c>
      <c r="E165" s="20">
        <v>1436</v>
      </c>
      <c r="F165" s="20">
        <v>328</v>
      </c>
      <c r="G165" s="20">
        <v>31</v>
      </c>
      <c r="H165" s="8">
        <v>125.57</v>
      </c>
    </row>
    <row r="166" spans="1:8" x14ac:dyDescent="0.3">
      <c r="A166" s="4">
        <v>41699</v>
      </c>
      <c r="B166" s="20">
        <v>202</v>
      </c>
      <c r="C166" s="20">
        <v>43</v>
      </c>
      <c r="D166" s="20">
        <v>345</v>
      </c>
      <c r="E166" s="20">
        <v>2670</v>
      </c>
      <c r="F166" s="20">
        <v>459</v>
      </c>
      <c r="G166" s="20">
        <v>356</v>
      </c>
      <c r="H166" s="8">
        <v>114.57</v>
      </c>
    </row>
    <row r="167" spans="1:8" x14ac:dyDescent="0.3">
      <c r="A167" s="4">
        <v>41730</v>
      </c>
      <c r="B167" s="20">
        <v>544</v>
      </c>
      <c r="C167" s="20">
        <v>40</v>
      </c>
      <c r="D167" s="20">
        <v>597</v>
      </c>
      <c r="E167" s="20">
        <v>4196</v>
      </c>
      <c r="F167" s="20">
        <v>764</v>
      </c>
      <c r="G167" s="20">
        <v>814</v>
      </c>
      <c r="H167" s="8">
        <v>167.58000000000004</v>
      </c>
    </row>
    <row r="168" spans="1:8" x14ac:dyDescent="0.3">
      <c r="A168" s="4">
        <v>41760</v>
      </c>
      <c r="B168" s="20">
        <v>292</v>
      </c>
      <c r="C168" s="20">
        <v>37</v>
      </c>
      <c r="D168" s="20">
        <v>400</v>
      </c>
      <c r="E168" s="20">
        <v>3773</v>
      </c>
      <c r="F168" s="20">
        <v>664</v>
      </c>
      <c r="G168" s="20">
        <v>44</v>
      </c>
      <c r="H168" s="8">
        <v>264.23999999999995</v>
      </c>
    </row>
    <row r="169" spans="1:8" x14ac:dyDescent="0.3">
      <c r="A169" s="4">
        <v>41791</v>
      </c>
      <c r="B169" s="20">
        <v>139</v>
      </c>
      <c r="C169" s="20">
        <v>35</v>
      </c>
      <c r="D169" s="20">
        <v>185</v>
      </c>
      <c r="E169" s="20">
        <v>2128</v>
      </c>
      <c r="F169" s="20">
        <v>383</v>
      </c>
      <c r="G169" s="20">
        <v>32</v>
      </c>
      <c r="H169" s="8">
        <v>197.94</v>
      </c>
    </row>
    <row r="170" spans="1:8" x14ac:dyDescent="0.3">
      <c r="A170" s="4">
        <v>41821</v>
      </c>
      <c r="B170" s="20">
        <v>112</v>
      </c>
      <c r="C170" s="20">
        <v>36</v>
      </c>
      <c r="D170" s="20">
        <v>123</v>
      </c>
      <c r="E170" s="20">
        <v>995</v>
      </c>
      <c r="F170" s="20">
        <v>280</v>
      </c>
      <c r="G170" s="20">
        <v>16</v>
      </c>
      <c r="H170" s="8">
        <v>156.88999999999999</v>
      </c>
    </row>
    <row r="171" spans="1:8" x14ac:dyDescent="0.3">
      <c r="A171" s="4">
        <v>41852</v>
      </c>
      <c r="B171" s="20">
        <v>104</v>
      </c>
      <c r="C171" s="20">
        <v>37</v>
      </c>
      <c r="D171" s="20">
        <v>92</v>
      </c>
      <c r="E171" s="20">
        <v>527</v>
      </c>
      <c r="F171" s="20">
        <v>219</v>
      </c>
      <c r="G171" s="20">
        <v>28</v>
      </c>
      <c r="H171" s="8">
        <v>127.67999999999999</v>
      </c>
    </row>
    <row r="172" spans="1:8" x14ac:dyDescent="0.3">
      <c r="A172" s="4">
        <v>41883</v>
      </c>
      <c r="B172" s="20">
        <v>88</v>
      </c>
      <c r="C172" s="20" t="s">
        <v>20</v>
      </c>
      <c r="D172" s="20">
        <v>67</v>
      </c>
      <c r="E172" s="20">
        <v>369</v>
      </c>
      <c r="F172" s="20">
        <v>178</v>
      </c>
      <c r="G172" s="20">
        <v>22</v>
      </c>
      <c r="H172" s="8">
        <v>111</v>
      </c>
    </row>
    <row r="173" spans="1:8" x14ac:dyDescent="0.3">
      <c r="A173" s="4">
        <v>41913</v>
      </c>
      <c r="B173" s="20">
        <v>70</v>
      </c>
      <c r="C173" s="20" t="s">
        <v>20</v>
      </c>
      <c r="D173" s="20">
        <v>47</v>
      </c>
      <c r="E173" s="20">
        <v>282</v>
      </c>
      <c r="F173" s="20">
        <v>145</v>
      </c>
      <c r="G173" s="20">
        <v>17</v>
      </c>
      <c r="H173" s="8">
        <v>98.539999999999992</v>
      </c>
    </row>
    <row r="174" spans="1:8" x14ac:dyDescent="0.3">
      <c r="A174" s="4">
        <v>41944</v>
      </c>
      <c r="B174" s="20">
        <v>82</v>
      </c>
      <c r="C174" s="20" t="s">
        <v>20</v>
      </c>
      <c r="D174" s="20">
        <v>49</v>
      </c>
      <c r="E174" s="20">
        <v>261</v>
      </c>
      <c r="F174" s="20">
        <v>152</v>
      </c>
      <c r="G174" s="20">
        <v>44</v>
      </c>
      <c r="H174" s="8">
        <v>102.69</v>
      </c>
    </row>
    <row r="175" spans="1:8" x14ac:dyDescent="0.3">
      <c r="A175" s="4">
        <v>41974</v>
      </c>
      <c r="B175" s="20">
        <v>428</v>
      </c>
      <c r="C175" s="20" t="s">
        <v>20</v>
      </c>
      <c r="D175" s="20">
        <v>225</v>
      </c>
      <c r="E175" s="20">
        <v>344</v>
      </c>
      <c r="F175" s="20">
        <v>280</v>
      </c>
      <c r="G175" s="20">
        <v>56</v>
      </c>
      <c r="H175" s="8">
        <v>55.22999999999999</v>
      </c>
    </row>
    <row r="176" spans="1:8" x14ac:dyDescent="0.3">
      <c r="A176" s="4">
        <v>42005</v>
      </c>
      <c r="B176" s="20">
        <v>213</v>
      </c>
      <c r="C176" s="20" t="s">
        <v>20</v>
      </c>
      <c r="D176" s="20">
        <v>263</v>
      </c>
      <c r="E176" s="20">
        <v>536</v>
      </c>
      <c r="F176" s="20">
        <v>376</v>
      </c>
      <c r="G176" s="20">
        <v>10</v>
      </c>
      <c r="H176" s="8">
        <v>112.17999999999995</v>
      </c>
    </row>
    <row r="177" spans="1:8" x14ac:dyDescent="0.3">
      <c r="A177" s="4">
        <v>42036</v>
      </c>
      <c r="B177" s="20">
        <v>183</v>
      </c>
      <c r="C177" s="20" t="s">
        <v>20</v>
      </c>
      <c r="D177" s="20">
        <v>505</v>
      </c>
      <c r="E177" s="20">
        <v>872</v>
      </c>
      <c r="F177" s="20">
        <v>545</v>
      </c>
      <c r="G177" s="20">
        <v>57</v>
      </c>
      <c r="H177" s="8">
        <v>39.620000000000061</v>
      </c>
    </row>
    <row r="178" spans="1:8" x14ac:dyDescent="0.3">
      <c r="A178" s="4">
        <v>42064</v>
      </c>
      <c r="B178" s="20">
        <v>195</v>
      </c>
      <c r="C178" s="20" t="s">
        <v>20</v>
      </c>
      <c r="D178" s="20">
        <v>430</v>
      </c>
      <c r="E178" s="20">
        <v>1277</v>
      </c>
      <c r="F178" s="20">
        <v>565</v>
      </c>
      <c r="G178" s="20">
        <v>20</v>
      </c>
      <c r="H178" s="8">
        <v>134.87000000000006</v>
      </c>
    </row>
    <row r="179" spans="1:8" x14ac:dyDescent="0.3">
      <c r="A179" s="4">
        <v>42095</v>
      </c>
      <c r="B179" s="20">
        <v>266</v>
      </c>
      <c r="C179" s="20" t="s">
        <v>20</v>
      </c>
      <c r="D179" s="20">
        <v>356</v>
      </c>
      <c r="E179" s="20">
        <v>1470</v>
      </c>
      <c r="F179" s="20">
        <v>534</v>
      </c>
      <c r="G179" s="20">
        <v>53</v>
      </c>
      <c r="H179" s="8">
        <v>177.94000000000005</v>
      </c>
    </row>
    <row r="180" spans="1:8" x14ac:dyDescent="0.3">
      <c r="A180" s="4">
        <v>42125</v>
      </c>
      <c r="B180" s="20">
        <v>137</v>
      </c>
      <c r="C180" s="20" t="s">
        <v>20</v>
      </c>
      <c r="D180" s="20">
        <v>218</v>
      </c>
      <c r="E180" s="20">
        <v>1566</v>
      </c>
      <c r="F180" s="20">
        <v>380</v>
      </c>
      <c r="G180" s="20">
        <v>44</v>
      </c>
      <c r="H180" s="8">
        <v>162.01</v>
      </c>
    </row>
    <row r="181" spans="1:8" x14ac:dyDescent="0.3">
      <c r="A181" s="4">
        <v>42156</v>
      </c>
      <c r="B181" s="20">
        <v>93</v>
      </c>
      <c r="C181" s="20" t="s">
        <v>20</v>
      </c>
      <c r="D181" s="20">
        <v>130</v>
      </c>
      <c r="E181" s="20">
        <v>1141</v>
      </c>
      <c r="F181" s="20">
        <v>264</v>
      </c>
      <c r="G181" s="20">
        <v>39</v>
      </c>
      <c r="H181" s="8">
        <v>133.76999999999998</v>
      </c>
    </row>
    <row r="182" spans="1:8" x14ac:dyDescent="0.3">
      <c r="A182" s="4">
        <v>42186</v>
      </c>
      <c r="B182" s="20">
        <v>75</v>
      </c>
      <c r="C182" s="20" t="s">
        <v>20</v>
      </c>
      <c r="D182" s="20">
        <v>100</v>
      </c>
      <c r="E182" s="20">
        <v>542</v>
      </c>
      <c r="F182" s="20">
        <v>208</v>
      </c>
      <c r="G182" s="20">
        <v>50</v>
      </c>
      <c r="H182" s="8">
        <v>108.91999999999999</v>
      </c>
    </row>
    <row r="183" spans="1:8" x14ac:dyDescent="0.3">
      <c r="A183" s="4">
        <v>42217</v>
      </c>
      <c r="B183" s="20">
        <v>62</v>
      </c>
      <c r="C183" s="20" t="s">
        <v>20</v>
      </c>
      <c r="D183" s="20">
        <v>79</v>
      </c>
      <c r="E183" s="20">
        <v>358</v>
      </c>
      <c r="F183" s="20">
        <v>183</v>
      </c>
      <c r="G183" s="20">
        <v>46</v>
      </c>
      <c r="H183" s="8">
        <v>103.74</v>
      </c>
    </row>
    <row r="184" spans="1:8" x14ac:dyDescent="0.3">
      <c r="A184" s="4">
        <v>42248</v>
      </c>
      <c r="B184" s="20">
        <v>64</v>
      </c>
      <c r="C184" s="20" t="s">
        <v>20</v>
      </c>
      <c r="D184" s="20">
        <v>56</v>
      </c>
      <c r="E184" s="20">
        <v>268</v>
      </c>
      <c r="F184" s="20">
        <v>157</v>
      </c>
      <c r="G184" s="20">
        <v>34</v>
      </c>
      <c r="H184" s="8">
        <v>100.89</v>
      </c>
    </row>
    <row r="185" spans="1:8" x14ac:dyDescent="0.3">
      <c r="A185" s="4">
        <v>42278</v>
      </c>
      <c r="B185" s="20">
        <v>56</v>
      </c>
      <c r="C185" s="20" t="s">
        <v>20</v>
      </c>
      <c r="D185" s="20">
        <v>35</v>
      </c>
      <c r="E185" s="20">
        <v>211</v>
      </c>
      <c r="F185" s="20">
        <v>135</v>
      </c>
      <c r="G185" s="20">
        <v>13</v>
      </c>
      <c r="H185" s="8">
        <v>100.04000000000002</v>
      </c>
    </row>
    <row r="186" spans="1:8" x14ac:dyDescent="0.3">
      <c r="A186" s="4">
        <v>42309</v>
      </c>
      <c r="B186" s="20">
        <v>69</v>
      </c>
      <c r="C186" s="20" t="s">
        <v>20</v>
      </c>
      <c r="D186" s="20">
        <v>22</v>
      </c>
      <c r="E186" s="20">
        <v>208</v>
      </c>
      <c r="F186" s="20">
        <v>115</v>
      </c>
      <c r="G186" s="20">
        <v>9</v>
      </c>
      <c r="H186" s="8">
        <v>93.13000000000001</v>
      </c>
    </row>
    <row r="187" spans="1:8" x14ac:dyDescent="0.3">
      <c r="A187" s="4">
        <v>42339</v>
      </c>
      <c r="B187" s="20">
        <v>85</v>
      </c>
      <c r="C187" s="20">
        <v>18</v>
      </c>
      <c r="D187" s="20">
        <v>43</v>
      </c>
      <c r="E187" s="20">
        <v>266</v>
      </c>
      <c r="F187" s="20">
        <v>127</v>
      </c>
      <c r="G187" s="20">
        <v>16</v>
      </c>
      <c r="H187" s="8">
        <v>84.59</v>
      </c>
    </row>
    <row r="188" spans="1:8" x14ac:dyDescent="0.3">
      <c r="A188" s="4">
        <v>42370</v>
      </c>
      <c r="B188" s="20">
        <v>434</v>
      </c>
      <c r="C188" s="20">
        <v>18</v>
      </c>
      <c r="D188" s="20">
        <v>190</v>
      </c>
      <c r="E188" s="20">
        <v>437</v>
      </c>
      <c r="F188" s="20">
        <v>247</v>
      </c>
      <c r="G188" s="20">
        <v>14</v>
      </c>
      <c r="H188" s="8">
        <v>57.119999999999976</v>
      </c>
    </row>
    <row r="189" spans="1:8" x14ac:dyDescent="0.3">
      <c r="A189" s="4">
        <v>42401</v>
      </c>
      <c r="B189" s="20">
        <v>403</v>
      </c>
      <c r="C189" s="20">
        <v>18</v>
      </c>
      <c r="D189" s="20">
        <v>309</v>
      </c>
      <c r="E189" s="20">
        <v>790</v>
      </c>
      <c r="F189" s="20">
        <v>378</v>
      </c>
      <c r="G189" s="20">
        <v>31</v>
      </c>
      <c r="H189" s="8">
        <v>69.660000000000025</v>
      </c>
    </row>
    <row r="190" spans="1:8" x14ac:dyDescent="0.3">
      <c r="A190" s="4">
        <v>42430</v>
      </c>
      <c r="B190" s="20">
        <v>625</v>
      </c>
      <c r="C190" s="20">
        <v>20</v>
      </c>
      <c r="D190" s="20">
        <v>447</v>
      </c>
      <c r="E190" s="20">
        <v>2923</v>
      </c>
      <c r="F190" s="20">
        <v>468</v>
      </c>
      <c r="G190" s="20" t="s">
        <v>20</v>
      </c>
      <c r="H190" s="8">
        <v>21.300000000000011</v>
      </c>
    </row>
    <row r="191" spans="1:8" x14ac:dyDescent="0.3">
      <c r="A191" s="4">
        <v>42461</v>
      </c>
      <c r="B191" s="20">
        <v>538</v>
      </c>
      <c r="C191" s="20">
        <v>19</v>
      </c>
      <c r="D191" s="20">
        <v>638</v>
      </c>
      <c r="E191" s="20">
        <v>3611</v>
      </c>
      <c r="F191" s="20">
        <v>792</v>
      </c>
      <c r="G191" s="20">
        <v>21</v>
      </c>
      <c r="H191" s="8">
        <v>154.01999999999998</v>
      </c>
    </row>
    <row r="192" spans="1:8" x14ac:dyDescent="0.3">
      <c r="A192" s="4">
        <v>42491</v>
      </c>
      <c r="B192" s="20">
        <v>213</v>
      </c>
      <c r="C192" s="20">
        <v>19</v>
      </c>
      <c r="D192" s="20">
        <v>293</v>
      </c>
      <c r="E192" s="20">
        <v>2722</v>
      </c>
      <c r="F192" s="20">
        <v>514</v>
      </c>
      <c r="G192" s="20">
        <v>19</v>
      </c>
      <c r="H192" s="8">
        <v>221.59999999999997</v>
      </c>
    </row>
    <row r="193" spans="1:8" x14ac:dyDescent="0.3">
      <c r="A193" s="4">
        <v>42522</v>
      </c>
      <c r="B193" s="20">
        <v>118</v>
      </c>
      <c r="C193" s="20">
        <v>19</v>
      </c>
      <c r="D193" s="20">
        <v>152</v>
      </c>
      <c r="E193" s="20">
        <v>1253</v>
      </c>
      <c r="F193" s="20">
        <v>315</v>
      </c>
      <c r="G193" s="20">
        <v>12</v>
      </c>
      <c r="H193" s="8">
        <v>162.70000000000002</v>
      </c>
    </row>
    <row r="194" spans="1:8" x14ac:dyDescent="0.3">
      <c r="A194" s="4">
        <v>42552</v>
      </c>
      <c r="B194" s="20">
        <v>93</v>
      </c>
      <c r="C194" s="20">
        <v>19</v>
      </c>
      <c r="D194" s="20">
        <v>118</v>
      </c>
      <c r="E194" s="20">
        <v>542</v>
      </c>
      <c r="F194" s="20">
        <v>240</v>
      </c>
      <c r="G194" s="20">
        <v>7</v>
      </c>
      <c r="H194" s="8">
        <v>122.55</v>
      </c>
    </row>
    <row r="195" spans="1:8" x14ac:dyDescent="0.3">
      <c r="A195" s="4">
        <v>42583</v>
      </c>
      <c r="B195" s="20">
        <v>97</v>
      </c>
      <c r="C195" s="20">
        <v>19</v>
      </c>
      <c r="D195" s="20">
        <v>96</v>
      </c>
      <c r="E195" s="20">
        <v>356</v>
      </c>
      <c r="F195" s="20">
        <v>207</v>
      </c>
      <c r="G195" s="20">
        <v>12</v>
      </c>
      <c r="H195" s="8">
        <v>111.44999999999999</v>
      </c>
    </row>
    <row r="196" spans="1:8" x14ac:dyDescent="0.3">
      <c r="A196" s="4">
        <v>42614</v>
      </c>
      <c r="B196" s="20">
        <v>67</v>
      </c>
      <c r="C196" s="20">
        <v>18</v>
      </c>
      <c r="D196" s="20">
        <v>71</v>
      </c>
      <c r="E196" s="20">
        <v>269</v>
      </c>
      <c r="F196" s="20">
        <v>176</v>
      </c>
      <c r="G196" s="20">
        <v>13</v>
      </c>
      <c r="H196" s="8">
        <v>104.47</v>
      </c>
    </row>
    <row r="197" spans="1:8" x14ac:dyDescent="0.3">
      <c r="A197" s="4">
        <v>42644</v>
      </c>
      <c r="B197" s="20">
        <v>61</v>
      </c>
      <c r="C197" s="20">
        <v>16</v>
      </c>
      <c r="D197" s="20">
        <v>44</v>
      </c>
      <c r="E197" s="20">
        <v>217</v>
      </c>
      <c r="F197" s="20">
        <v>161</v>
      </c>
      <c r="G197" s="20">
        <v>8</v>
      </c>
      <c r="H197" s="8">
        <v>116.28</v>
      </c>
    </row>
    <row r="198" spans="1:8" x14ac:dyDescent="0.3">
      <c r="A198" s="4">
        <v>42675</v>
      </c>
      <c r="B198" s="20">
        <v>82</v>
      </c>
      <c r="C198" s="20">
        <v>15</v>
      </c>
      <c r="D198" s="20">
        <v>38</v>
      </c>
      <c r="E198" s="20">
        <v>205</v>
      </c>
      <c r="F198" s="20">
        <v>168</v>
      </c>
      <c r="G198" s="20">
        <v>2</v>
      </c>
      <c r="H198" s="8">
        <v>129.49</v>
      </c>
    </row>
    <row r="199" spans="1:8" x14ac:dyDescent="0.3">
      <c r="A199" s="4">
        <v>42705</v>
      </c>
      <c r="B199" s="20">
        <v>183</v>
      </c>
      <c r="C199" s="20">
        <v>18</v>
      </c>
      <c r="D199" s="20">
        <v>128</v>
      </c>
      <c r="E199" s="20">
        <v>291</v>
      </c>
      <c r="F199" s="20">
        <v>310</v>
      </c>
      <c r="G199" s="20">
        <v>3</v>
      </c>
      <c r="H199" s="8">
        <v>181.89</v>
      </c>
    </row>
    <row r="200" spans="1:8" x14ac:dyDescent="0.3">
      <c r="A200" s="4">
        <v>42736</v>
      </c>
      <c r="B200" s="20">
        <v>286</v>
      </c>
      <c r="C200" s="20">
        <v>22</v>
      </c>
      <c r="D200" s="20">
        <v>251</v>
      </c>
      <c r="E200" s="20">
        <v>564</v>
      </c>
      <c r="F200" s="20">
        <v>479</v>
      </c>
      <c r="G200" s="20">
        <v>23</v>
      </c>
      <c r="H200" s="8">
        <v>227.95000000000002</v>
      </c>
    </row>
    <row r="201" spans="1:8" x14ac:dyDescent="0.3">
      <c r="A201" s="4">
        <v>42767</v>
      </c>
      <c r="B201" s="20">
        <v>226</v>
      </c>
      <c r="C201" s="20">
        <v>26</v>
      </c>
      <c r="D201" s="20">
        <v>218</v>
      </c>
      <c r="E201" s="20">
        <v>1017</v>
      </c>
      <c r="F201" s="20">
        <v>433</v>
      </c>
      <c r="G201" s="20">
        <v>21</v>
      </c>
      <c r="H201" s="8">
        <v>214.95</v>
      </c>
    </row>
    <row r="202" spans="1:8" x14ac:dyDescent="0.3">
      <c r="A202" s="4">
        <v>42795</v>
      </c>
      <c r="B202" s="20">
        <v>376</v>
      </c>
      <c r="C202" s="20">
        <v>31</v>
      </c>
      <c r="D202" s="20">
        <v>277</v>
      </c>
      <c r="E202" s="20">
        <v>2668</v>
      </c>
      <c r="F202" s="20">
        <v>509</v>
      </c>
      <c r="G202" s="20">
        <v>234</v>
      </c>
      <c r="H202" s="8">
        <v>232.72000000000003</v>
      </c>
    </row>
    <row r="203" spans="1:8" x14ac:dyDescent="0.3">
      <c r="A203" s="4">
        <v>42826</v>
      </c>
      <c r="B203" s="20">
        <v>273</v>
      </c>
      <c r="C203" s="20">
        <v>29</v>
      </c>
      <c r="D203" s="20">
        <v>260</v>
      </c>
      <c r="E203" s="20">
        <v>4151</v>
      </c>
      <c r="F203" s="20">
        <v>491</v>
      </c>
      <c r="G203" s="20">
        <v>23</v>
      </c>
      <c r="H203" s="8">
        <v>230.86</v>
      </c>
    </row>
    <row r="204" spans="1:8" x14ac:dyDescent="0.3">
      <c r="A204" s="4">
        <v>42856</v>
      </c>
      <c r="B204" s="20">
        <v>141</v>
      </c>
      <c r="C204" s="20">
        <v>29</v>
      </c>
      <c r="D204" s="20">
        <v>159</v>
      </c>
      <c r="E204" s="20">
        <v>2290</v>
      </c>
      <c r="F204" s="20">
        <v>353</v>
      </c>
      <c r="G204" s="20">
        <v>18</v>
      </c>
      <c r="H204" s="8">
        <v>193.9</v>
      </c>
    </row>
    <row r="205" spans="1:8" x14ac:dyDescent="0.3">
      <c r="A205" s="4">
        <v>42887</v>
      </c>
      <c r="B205" s="20">
        <v>89</v>
      </c>
      <c r="C205" s="20">
        <v>28</v>
      </c>
      <c r="D205" s="20">
        <v>90</v>
      </c>
      <c r="E205" s="20">
        <v>1148</v>
      </c>
      <c r="F205" s="20">
        <v>250</v>
      </c>
      <c r="G205" s="20">
        <v>12</v>
      </c>
      <c r="H205" s="8">
        <v>160.5</v>
      </c>
    </row>
    <row r="206" spans="1:8" x14ac:dyDescent="0.3">
      <c r="A206" s="4">
        <v>42917</v>
      </c>
      <c r="B206" s="20">
        <v>76</v>
      </c>
      <c r="C206" s="20">
        <v>31</v>
      </c>
      <c r="D206" s="20">
        <v>62</v>
      </c>
      <c r="E206" s="20">
        <v>521</v>
      </c>
      <c r="F206" s="20">
        <v>207</v>
      </c>
      <c r="G206" s="20">
        <v>12</v>
      </c>
      <c r="H206" s="8">
        <v>144.32</v>
      </c>
    </row>
    <row r="207" spans="1:8" x14ac:dyDescent="0.3">
      <c r="A207" s="4">
        <v>42948</v>
      </c>
      <c r="B207" s="20">
        <v>34</v>
      </c>
      <c r="C207" s="20">
        <v>35</v>
      </c>
      <c r="D207" s="20">
        <v>49</v>
      </c>
      <c r="E207" s="20">
        <v>339</v>
      </c>
      <c r="F207" s="20">
        <v>184</v>
      </c>
      <c r="G207" s="20">
        <v>15</v>
      </c>
      <c r="H207" s="8">
        <v>135.26</v>
      </c>
    </row>
    <row r="208" spans="1:8" x14ac:dyDescent="0.3">
      <c r="A208" s="4">
        <v>42979</v>
      </c>
      <c r="B208" s="20">
        <v>15</v>
      </c>
      <c r="C208" s="20">
        <v>33</v>
      </c>
      <c r="D208" s="20">
        <v>34</v>
      </c>
      <c r="E208" s="20">
        <v>241</v>
      </c>
      <c r="F208" s="20">
        <v>157</v>
      </c>
      <c r="G208" s="20">
        <v>14</v>
      </c>
      <c r="H208" s="8">
        <v>122.72000000000001</v>
      </c>
    </row>
    <row r="209" spans="1:8" x14ac:dyDescent="0.3">
      <c r="A209" s="4">
        <v>43009</v>
      </c>
      <c r="B209" s="20">
        <v>10</v>
      </c>
      <c r="C209" s="20">
        <v>29</v>
      </c>
      <c r="D209" s="20">
        <v>22</v>
      </c>
      <c r="E209" s="20">
        <v>203</v>
      </c>
      <c r="F209" s="20">
        <v>134</v>
      </c>
      <c r="G209" s="20">
        <v>19</v>
      </c>
      <c r="H209" s="8">
        <v>111.53</v>
      </c>
    </row>
    <row r="210" spans="1:8" x14ac:dyDescent="0.3">
      <c r="A210" s="4">
        <v>43040</v>
      </c>
      <c r="B210" s="20">
        <v>15</v>
      </c>
      <c r="C210" s="20">
        <v>25</v>
      </c>
      <c r="D210" s="20">
        <v>26</v>
      </c>
      <c r="E210" s="20">
        <v>205</v>
      </c>
      <c r="F210" s="20">
        <v>141</v>
      </c>
      <c r="G210" s="20">
        <v>5</v>
      </c>
      <c r="H210" s="8">
        <v>115.06000000000002</v>
      </c>
    </row>
    <row r="211" spans="1:8" x14ac:dyDescent="0.3">
      <c r="A211" s="4">
        <v>43070</v>
      </c>
      <c r="B211" s="20">
        <v>30</v>
      </c>
      <c r="C211" s="20">
        <v>24</v>
      </c>
      <c r="D211" s="20">
        <v>47</v>
      </c>
      <c r="E211" s="20">
        <v>321</v>
      </c>
      <c r="F211" s="20">
        <v>179</v>
      </c>
      <c r="G211" s="20">
        <v>10</v>
      </c>
      <c r="H211" s="8">
        <v>132.07</v>
      </c>
    </row>
    <row r="212" spans="1:8" x14ac:dyDescent="0.3">
      <c r="A212" s="4">
        <v>43101</v>
      </c>
      <c r="B212" s="20">
        <v>70</v>
      </c>
      <c r="C212" s="20">
        <v>24</v>
      </c>
      <c r="D212" s="20">
        <v>108</v>
      </c>
      <c r="E212" s="20">
        <v>670</v>
      </c>
      <c r="F212" s="20">
        <v>278</v>
      </c>
      <c r="G212" s="20">
        <v>11</v>
      </c>
      <c r="H212" s="8">
        <v>169.45999999999998</v>
      </c>
    </row>
    <row r="213" spans="1:8" x14ac:dyDescent="0.3">
      <c r="A213" s="4">
        <v>43132</v>
      </c>
      <c r="B213" s="20">
        <v>289</v>
      </c>
      <c r="C213" s="20">
        <v>28</v>
      </c>
      <c r="D213" s="20">
        <v>273</v>
      </c>
      <c r="E213" s="20">
        <v>1809</v>
      </c>
      <c r="F213" s="20">
        <v>501</v>
      </c>
      <c r="G213" s="20">
        <v>10</v>
      </c>
      <c r="H213" s="8">
        <v>227.81</v>
      </c>
    </row>
    <row r="214" spans="1:8" x14ac:dyDescent="0.3">
      <c r="A214" s="4">
        <v>43160</v>
      </c>
      <c r="B214" s="20">
        <v>227</v>
      </c>
      <c r="C214" s="20">
        <v>38</v>
      </c>
      <c r="D214" s="20">
        <v>299</v>
      </c>
      <c r="E214" s="20">
        <v>3879</v>
      </c>
      <c r="F214" s="20">
        <v>537</v>
      </c>
      <c r="G214" s="20">
        <v>9</v>
      </c>
      <c r="H214" s="8">
        <v>237.7</v>
      </c>
    </row>
    <row r="215" spans="1:8" x14ac:dyDescent="0.3">
      <c r="A215" s="4">
        <v>43191</v>
      </c>
      <c r="B215" s="20">
        <v>852</v>
      </c>
      <c r="C215" s="20">
        <v>69</v>
      </c>
      <c r="D215" s="20">
        <v>465</v>
      </c>
      <c r="E215" s="20">
        <v>5069</v>
      </c>
      <c r="F215" s="20">
        <v>742</v>
      </c>
      <c r="G215" s="20">
        <v>138</v>
      </c>
      <c r="H215" s="8">
        <v>276.52000000000004</v>
      </c>
    </row>
    <row r="216" spans="1:8" x14ac:dyDescent="0.3">
      <c r="A216" s="4">
        <v>43221</v>
      </c>
      <c r="B216" s="20">
        <v>352</v>
      </c>
      <c r="C216" s="20">
        <v>65</v>
      </c>
      <c r="D216" s="20">
        <v>417</v>
      </c>
      <c r="E216" s="20">
        <v>5129</v>
      </c>
      <c r="F216" s="20">
        <v>684</v>
      </c>
      <c r="G216" s="20">
        <v>696</v>
      </c>
      <c r="H216" s="8">
        <v>267.02</v>
      </c>
    </row>
    <row r="217" spans="1:8" x14ac:dyDescent="0.3">
      <c r="A217" s="4">
        <v>43252</v>
      </c>
      <c r="B217" s="20">
        <v>98</v>
      </c>
      <c r="C217" s="20">
        <v>46</v>
      </c>
      <c r="D217" s="20">
        <v>175</v>
      </c>
      <c r="E217" s="20">
        <v>2330</v>
      </c>
      <c r="F217" s="20">
        <v>369</v>
      </c>
      <c r="G217" s="20">
        <v>60</v>
      </c>
      <c r="H217" s="8">
        <v>194.18</v>
      </c>
    </row>
    <row r="218" spans="1:8" x14ac:dyDescent="0.3">
      <c r="A218" s="4">
        <v>43282</v>
      </c>
      <c r="B218" s="20">
        <v>102</v>
      </c>
      <c r="C218" s="20">
        <v>47</v>
      </c>
      <c r="D218" s="20">
        <v>117</v>
      </c>
      <c r="E218" s="20">
        <v>1042</v>
      </c>
      <c r="F218" s="20">
        <v>222</v>
      </c>
      <c r="G218" s="20">
        <v>43</v>
      </c>
      <c r="H218" s="8">
        <v>104.47999999999999</v>
      </c>
    </row>
    <row r="219" spans="1:8" x14ac:dyDescent="0.3">
      <c r="A219" s="4">
        <v>43313</v>
      </c>
      <c r="B219" s="20">
        <v>80</v>
      </c>
      <c r="C219" s="20">
        <v>71</v>
      </c>
      <c r="D219" s="20">
        <v>91</v>
      </c>
      <c r="E219" s="20">
        <v>531</v>
      </c>
      <c r="F219" s="20">
        <v>163</v>
      </c>
      <c r="G219" s="20">
        <v>24</v>
      </c>
      <c r="H219" s="8">
        <v>71.820000000000007</v>
      </c>
    </row>
    <row r="220" spans="1:8" x14ac:dyDescent="0.3">
      <c r="A220" s="4">
        <v>43344</v>
      </c>
      <c r="B220" s="20">
        <v>71</v>
      </c>
      <c r="C220" s="20">
        <v>94</v>
      </c>
      <c r="D220" s="20">
        <v>64</v>
      </c>
      <c r="E220" s="20">
        <v>357</v>
      </c>
      <c r="F220" s="20">
        <v>132</v>
      </c>
      <c r="G220" s="20">
        <v>26</v>
      </c>
      <c r="H220" s="8">
        <v>68.299999999999983</v>
      </c>
    </row>
    <row r="221" spans="1:8" x14ac:dyDescent="0.3">
      <c r="A221" s="4">
        <v>43374</v>
      </c>
      <c r="B221" s="20">
        <v>52</v>
      </c>
      <c r="C221" s="20">
        <v>90</v>
      </c>
      <c r="D221" s="20">
        <v>42</v>
      </c>
      <c r="E221" s="20">
        <v>258</v>
      </c>
      <c r="F221" s="20">
        <v>108</v>
      </c>
      <c r="G221" s="20">
        <v>18</v>
      </c>
      <c r="H221" s="8">
        <v>65.389999999999986</v>
      </c>
    </row>
    <row r="222" spans="1:8" x14ac:dyDescent="0.3">
      <c r="A222" s="4">
        <v>43405</v>
      </c>
      <c r="B222" s="20">
        <v>54</v>
      </c>
      <c r="C222" s="20">
        <v>44</v>
      </c>
      <c r="D222" s="20">
        <v>39</v>
      </c>
      <c r="E222" s="20">
        <v>225</v>
      </c>
      <c r="F222" s="20">
        <v>110</v>
      </c>
      <c r="G222" s="20">
        <v>6</v>
      </c>
      <c r="H222" s="8">
        <v>71.650000000000006</v>
      </c>
    </row>
    <row r="223" spans="1:8" x14ac:dyDescent="0.3">
      <c r="A223" s="4">
        <v>43435</v>
      </c>
      <c r="B223" s="20">
        <v>58</v>
      </c>
      <c r="C223" s="20">
        <v>29</v>
      </c>
      <c r="D223" s="20">
        <v>50</v>
      </c>
      <c r="E223" s="20">
        <v>252</v>
      </c>
      <c r="F223" s="20">
        <v>130</v>
      </c>
      <c r="G223" s="20">
        <v>11</v>
      </c>
      <c r="H223" s="8">
        <v>80.31</v>
      </c>
    </row>
    <row r="224" spans="1:8" x14ac:dyDescent="0.3">
      <c r="A224" s="4">
        <v>43466</v>
      </c>
      <c r="B224" s="20">
        <v>121</v>
      </c>
      <c r="C224" s="20">
        <v>25</v>
      </c>
      <c r="D224" s="20">
        <v>107</v>
      </c>
      <c r="E224" s="20">
        <v>438</v>
      </c>
      <c r="F224" s="20">
        <v>190</v>
      </c>
      <c r="G224" s="20">
        <v>5</v>
      </c>
      <c r="H224" s="8">
        <v>83.060000000000016</v>
      </c>
    </row>
    <row r="225" spans="1:8" x14ac:dyDescent="0.3">
      <c r="A225" s="4">
        <v>43497</v>
      </c>
      <c r="B225" s="20">
        <v>117</v>
      </c>
      <c r="C225" s="20">
        <v>27</v>
      </c>
      <c r="D225" s="20">
        <v>181</v>
      </c>
      <c r="E225" s="20">
        <v>664</v>
      </c>
      <c r="F225" s="20">
        <v>252</v>
      </c>
      <c r="G225" s="20">
        <v>8</v>
      </c>
      <c r="H225" s="8">
        <v>71.329999999999984</v>
      </c>
    </row>
    <row r="226" spans="1:8" x14ac:dyDescent="0.3">
      <c r="A226" s="4">
        <v>43525</v>
      </c>
      <c r="B226" s="20">
        <v>142</v>
      </c>
      <c r="C226" s="20">
        <v>26</v>
      </c>
      <c r="D226" s="20">
        <v>179</v>
      </c>
      <c r="E226" s="20">
        <v>832</v>
      </c>
      <c r="F226" s="20">
        <v>276</v>
      </c>
      <c r="G226" s="20">
        <v>6</v>
      </c>
      <c r="H226" s="8">
        <v>97.87</v>
      </c>
    </row>
    <row r="227" spans="1:8" x14ac:dyDescent="0.3">
      <c r="A227" s="4">
        <v>43556</v>
      </c>
      <c r="B227" s="20">
        <v>169</v>
      </c>
      <c r="C227" s="20">
        <v>22</v>
      </c>
      <c r="D227" s="20">
        <v>149</v>
      </c>
      <c r="E227" s="20">
        <v>1024</v>
      </c>
      <c r="F227" s="20">
        <v>241</v>
      </c>
      <c r="G227" s="20">
        <v>6</v>
      </c>
      <c r="H227" s="8">
        <v>91.57</v>
      </c>
    </row>
    <row r="228" spans="1:8" x14ac:dyDescent="0.3">
      <c r="A228" s="4">
        <v>43586</v>
      </c>
      <c r="B228" s="20">
        <v>91</v>
      </c>
      <c r="C228" s="20">
        <v>25</v>
      </c>
      <c r="D228" s="20">
        <v>127</v>
      </c>
      <c r="E228" s="20">
        <v>965</v>
      </c>
      <c r="F228" s="20">
        <v>221</v>
      </c>
      <c r="G228" s="20">
        <v>131</v>
      </c>
      <c r="H228" s="8">
        <v>93.480000000000018</v>
      </c>
    </row>
    <row r="229" spans="1:8" x14ac:dyDescent="0.3">
      <c r="A229" s="4">
        <v>43617</v>
      </c>
      <c r="B229" s="20">
        <v>38</v>
      </c>
      <c r="C229" s="20">
        <v>20</v>
      </c>
      <c r="D229" s="20">
        <v>89</v>
      </c>
      <c r="E229" s="20">
        <v>516</v>
      </c>
      <c r="F229" s="20">
        <v>177</v>
      </c>
      <c r="G229" s="20">
        <v>20</v>
      </c>
      <c r="H229" s="8">
        <v>87.48</v>
      </c>
    </row>
    <row r="230" spans="1:8" x14ac:dyDescent="0.3">
      <c r="A230" s="4">
        <v>43647</v>
      </c>
      <c r="B230" s="20">
        <v>50</v>
      </c>
      <c r="C230" s="20">
        <v>18</v>
      </c>
      <c r="D230" s="20">
        <v>63</v>
      </c>
      <c r="E230" s="20">
        <v>325</v>
      </c>
      <c r="F230" s="20">
        <v>146</v>
      </c>
      <c r="G230" s="20">
        <v>14</v>
      </c>
      <c r="H230" s="8">
        <v>82.799999999999983</v>
      </c>
    </row>
    <row r="231" spans="1:8" x14ac:dyDescent="0.3">
      <c r="A231" s="4">
        <v>43678</v>
      </c>
      <c r="B231" s="20">
        <v>43</v>
      </c>
      <c r="C231" s="20">
        <v>22</v>
      </c>
      <c r="D231" s="20">
        <v>49</v>
      </c>
      <c r="E231" s="20">
        <v>257</v>
      </c>
      <c r="F231" s="20">
        <v>135</v>
      </c>
      <c r="G231" s="20">
        <v>15</v>
      </c>
      <c r="H231" s="8">
        <v>85.85</v>
      </c>
    </row>
    <row r="232" spans="1:8" x14ac:dyDescent="0.3">
      <c r="A232" s="4">
        <v>43709</v>
      </c>
      <c r="B232" s="20">
        <v>24</v>
      </c>
      <c r="C232" s="20">
        <v>23</v>
      </c>
      <c r="D232" s="20">
        <v>33</v>
      </c>
      <c r="E232" s="20">
        <v>206</v>
      </c>
      <c r="F232" s="20">
        <v>123</v>
      </c>
      <c r="G232" s="20">
        <v>12</v>
      </c>
      <c r="H232" s="8">
        <v>90.6</v>
      </c>
    </row>
    <row r="233" spans="1:8" x14ac:dyDescent="0.3">
      <c r="A233" s="4">
        <v>43739</v>
      </c>
      <c r="B233" s="20">
        <v>21</v>
      </c>
      <c r="C233" s="20">
        <v>14</v>
      </c>
      <c r="D233" s="20">
        <v>21</v>
      </c>
      <c r="E233" s="20">
        <v>154</v>
      </c>
      <c r="F233" s="20">
        <v>108</v>
      </c>
      <c r="G233" s="20">
        <v>6</v>
      </c>
      <c r="H233" s="8">
        <v>87.33</v>
      </c>
    </row>
    <row r="234" spans="1:8" x14ac:dyDescent="0.3">
      <c r="A234" s="4">
        <v>43770</v>
      </c>
      <c r="B234" s="20">
        <v>20</v>
      </c>
      <c r="C234" s="20">
        <v>9</v>
      </c>
      <c r="D234" s="20">
        <v>23</v>
      </c>
      <c r="E234" s="20">
        <v>172</v>
      </c>
      <c r="F234" s="20">
        <v>100</v>
      </c>
      <c r="G234" s="20">
        <v>5</v>
      </c>
      <c r="H234" s="8">
        <v>77.709999999999994</v>
      </c>
    </row>
    <row r="235" spans="1:8" x14ac:dyDescent="0.3">
      <c r="A235" s="4">
        <v>43800</v>
      </c>
      <c r="B235" s="20">
        <v>111</v>
      </c>
      <c r="C235" s="20">
        <v>5</v>
      </c>
      <c r="D235" s="20">
        <v>62</v>
      </c>
      <c r="E235" s="20">
        <v>290</v>
      </c>
      <c r="F235" s="20">
        <v>135</v>
      </c>
      <c r="G235" s="20">
        <v>20</v>
      </c>
      <c r="H235" s="8">
        <v>73.36999999999999</v>
      </c>
    </row>
    <row r="236" spans="1:8" x14ac:dyDescent="0.3">
      <c r="A236" s="4">
        <v>43831</v>
      </c>
      <c r="B236" s="20">
        <v>438</v>
      </c>
      <c r="C236" s="20" t="s">
        <v>20</v>
      </c>
      <c r="D236" s="20">
        <v>192</v>
      </c>
      <c r="E236" s="20" t="s">
        <v>20</v>
      </c>
      <c r="F236" s="20" t="s">
        <v>20</v>
      </c>
      <c r="G236" s="20">
        <v>7</v>
      </c>
    </row>
    <row r="237" spans="1:8" x14ac:dyDescent="0.3">
      <c r="A237" s="4">
        <v>43862</v>
      </c>
      <c r="B237" s="7" t="s">
        <v>20</v>
      </c>
      <c r="C237" s="7" t="s">
        <v>20</v>
      </c>
      <c r="D237" s="7">
        <v>439</v>
      </c>
      <c r="E237" s="7" t="s">
        <v>20</v>
      </c>
      <c r="F237" s="7" t="s">
        <v>20</v>
      </c>
      <c r="G237" s="7" t="s">
        <v>20</v>
      </c>
    </row>
    <row r="238" spans="1:8" x14ac:dyDescent="0.3">
      <c r="A238" s="4">
        <v>43891</v>
      </c>
      <c r="B238" s="7" t="s">
        <v>20</v>
      </c>
      <c r="C238" s="7" t="s">
        <v>20</v>
      </c>
      <c r="D238" s="7">
        <v>491</v>
      </c>
      <c r="E238" s="7" t="s">
        <v>20</v>
      </c>
      <c r="F238" s="7" t="s">
        <v>20</v>
      </c>
      <c r="G238" s="7">
        <v>36</v>
      </c>
    </row>
    <row r="239" spans="1:8" x14ac:dyDescent="0.3">
      <c r="A239" s="4">
        <v>43922</v>
      </c>
      <c r="B239" s="7">
        <v>993</v>
      </c>
      <c r="C239" s="7" t="s">
        <v>20</v>
      </c>
      <c r="D239" s="7" t="s">
        <v>20</v>
      </c>
      <c r="E239" s="7" t="s">
        <v>20</v>
      </c>
      <c r="F239" s="7" t="s">
        <v>20</v>
      </c>
      <c r="G239" s="7" t="s">
        <v>20</v>
      </c>
    </row>
    <row r="252" spans="8:9" x14ac:dyDescent="0.3">
      <c r="H252" s="13"/>
      <c r="I252" s="13"/>
    </row>
    <row r="253" spans="8:9" x14ac:dyDescent="0.3">
      <c r="H253" s="13"/>
      <c r="I253" s="13"/>
    </row>
    <row r="254" spans="8:9" x14ac:dyDescent="0.3">
      <c r="H254" s="13"/>
      <c r="I254" s="13"/>
    </row>
    <row r="255" spans="8:9" x14ac:dyDescent="0.3">
      <c r="H255" s="13"/>
      <c r="I255" s="13"/>
    </row>
    <row r="256" spans="8:9" x14ac:dyDescent="0.3">
      <c r="H256" s="13"/>
      <c r="I256" s="13"/>
    </row>
    <row r="257" spans="8:9" x14ac:dyDescent="0.3">
      <c r="H257" s="13"/>
      <c r="I257" s="13"/>
    </row>
    <row r="258" spans="8:9" x14ac:dyDescent="0.3">
      <c r="H258" s="13"/>
      <c r="I258" s="13"/>
    </row>
    <row r="259" spans="8:9" x14ac:dyDescent="0.3">
      <c r="H259" s="13"/>
      <c r="I259" s="13"/>
    </row>
    <row r="260" spans="8:9" x14ac:dyDescent="0.3">
      <c r="H260" s="13"/>
      <c r="I260" s="13"/>
    </row>
    <row r="261" spans="8:9" x14ac:dyDescent="0.3">
      <c r="H261" s="13"/>
      <c r="I261" s="13"/>
    </row>
    <row r="262" spans="8:9" x14ac:dyDescent="0.3">
      <c r="H262" s="13"/>
      <c r="I262" s="13"/>
    </row>
    <row r="263" spans="8:9" x14ac:dyDescent="0.3">
      <c r="H263" s="13"/>
      <c r="I263" s="13"/>
    </row>
    <row r="264" spans="8:9" x14ac:dyDescent="0.3">
      <c r="H264" s="13"/>
      <c r="I264" s="13"/>
    </row>
    <row r="265" spans="8:9" x14ac:dyDescent="0.3">
      <c r="H265" s="13"/>
      <c r="I265" s="13"/>
    </row>
    <row r="266" spans="8:9" x14ac:dyDescent="0.3">
      <c r="H266" s="13"/>
      <c r="I266" s="13"/>
    </row>
    <row r="267" spans="8:9" x14ac:dyDescent="0.3">
      <c r="H267" s="13"/>
      <c r="I267" s="13"/>
    </row>
    <row r="268" spans="8:9" x14ac:dyDescent="0.3">
      <c r="H268" s="13"/>
      <c r="I268" s="13"/>
    </row>
    <row r="269" spans="8:9" x14ac:dyDescent="0.3">
      <c r="H269" s="13"/>
      <c r="I269" s="13"/>
    </row>
    <row r="270" spans="8:9" x14ac:dyDescent="0.3">
      <c r="H270" s="13"/>
      <c r="I270" s="13"/>
    </row>
    <row r="271" spans="8:9" x14ac:dyDescent="0.3">
      <c r="H271" s="13"/>
      <c r="I271" s="13"/>
    </row>
    <row r="272" spans="8:9" x14ac:dyDescent="0.3">
      <c r="H272" s="13"/>
      <c r="I272" s="13"/>
    </row>
    <row r="273" spans="8:9" x14ac:dyDescent="0.3">
      <c r="H273" s="13"/>
      <c r="I273" s="13"/>
    </row>
    <row r="274" spans="8:9" x14ac:dyDescent="0.3">
      <c r="H274" s="13"/>
      <c r="I274" s="13"/>
    </row>
    <row r="275" spans="8:9" x14ac:dyDescent="0.3">
      <c r="H275" s="13"/>
      <c r="I275" s="13"/>
    </row>
    <row r="276" spans="8:9" x14ac:dyDescent="0.3">
      <c r="H276" s="13"/>
      <c r="I276" s="13"/>
    </row>
    <row r="277" spans="8:9" x14ac:dyDescent="0.3">
      <c r="H277" s="13"/>
      <c r="I277" s="13"/>
    </row>
    <row r="278" spans="8:9" x14ac:dyDescent="0.3">
      <c r="H278" s="13"/>
      <c r="I278" s="13"/>
    </row>
    <row r="279" spans="8:9" x14ac:dyDescent="0.3">
      <c r="H279" s="13"/>
      <c r="I279" s="13"/>
    </row>
    <row r="280" spans="8:9" x14ac:dyDescent="0.3">
      <c r="H280" s="13"/>
      <c r="I280" s="13"/>
    </row>
    <row r="281" spans="8:9" x14ac:dyDescent="0.3">
      <c r="H281" s="13"/>
      <c r="I281" s="13"/>
    </row>
    <row r="282" spans="8:9" x14ac:dyDescent="0.3">
      <c r="H282" s="13"/>
      <c r="I282" s="13"/>
    </row>
    <row r="283" spans="8:9" x14ac:dyDescent="0.3">
      <c r="H283" s="13"/>
      <c r="I283" s="13"/>
    </row>
    <row r="284" spans="8:9" x14ac:dyDescent="0.3">
      <c r="H284" s="13"/>
      <c r="I284" s="13"/>
    </row>
    <row r="285" spans="8:9" x14ac:dyDescent="0.3">
      <c r="H285" s="13"/>
      <c r="I285" s="13"/>
    </row>
    <row r="286" spans="8:9" x14ac:dyDescent="0.3">
      <c r="H286" s="13"/>
      <c r="I286" s="13"/>
    </row>
    <row r="287" spans="8:9" x14ac:dyDescent="0.3">
      <c r="H287" s="13"/>
      <c r="I287" s="13"/>
    </row>
    <row r="288" spans="8:9" x14ac:dyDescent="0.3">
      <c r="H288" s="13"/>
      <c r="I288" s="13"/>
    </row>
    <row r="289" spans="8:9" x14ac:dyDescent="0.3">
      <c r="H289" s="13"/>
      <c r="I289" s="13"/>
    </row>
    <row r="290" spans="8:9" x14ac:dyDescent="0.3">
      <c r="H290" s="13"/>
      <c r="I290" s="13"/>
    </row>
    <row r="291" spans="8:9" x14ac:dyDescent="0.3">
      <c r="H291" s="13"/>
      <c r="I291" s="13"/>
    </row>
    <row r="292" spans="8:9" x14ac:dyDescent="0.3">
      <c r="H292" s="13"/>
      <c r="I292" s="13"/>
    </row>
    <row r="293" spans="8:9" x14ac:dyDescent="0.3">
      <c r="H293" s="13"/>
      <c r="I293" s="13"/>
    </row>
    <row r="294" spans="8:9" x14ac:dyDescent="0.3">
      <c r="H294" s="13"/>
      <c r="I294" s="13"/>
    </row>
    <row r="295" spans="8:9" x14ac:dyDescent="0.3">
      <c r="H295" s="13"/>
      <c r="I295" s="13"/>
    </row>
    <row r="296" spans="8:9" x14ac:dyDescent="0.3">
      <c r="H296" s="13"/>
      <c r="I296" s="13"/>
    </row>
    <row r="297" spans="8:9" x14ac:dyDescent="0.3">
      <c r="H297" s="13"/>
      <c r="I297" s="13"/>
    </row>
    <row r="298" spans="8:9" x14ac:dyDescent="0.3">
      <c r="H298" s="13"/>
      <c r="I298" s="13"/>
    </row>
    <row r="299" spans="8:9" x14ac:dyDescent="0.3">
      <c r="H299" s="13"/>
      <c r="I299" s="13"/>
    </row>
    <row r="300" spans="8:9" x14ac:dyDescent="0.3">
      <c r="H300" s="13"/>
      <c r="I300" s="13"/>
    </row>
    <row r="301" spans="8:9" x14ac:dyDescent="0.3">
      <c r="H301" s="13"/>
      <c r="I301" s="13"/>
    </row>
    <row r="302" spans="8:9" x14ac:dyDescent="0.3">
      <c r="H302" s="13"/>
      <c r="I302" s="13"/>
    </row>
    <row r="303" spans="8:9" x14ac:dyDescent="0.3">
      <c r="H303" s="13"/>
      <c r="I303" s="13"/>
    </row>
    <row r="304" spans="8:9" x14ac:dyDescent="0.3">
      <c r="H304" s="13"/>
      <c r="I304" s="13"/>
    </row>
    <row r="305" spans="8:9" x14ac:dyDescent="0.3">
      <c r="H305" s="13"/>
      <c r="I305" s="13"/>
    </row>
    <row r="306" spans="8:9" x14ac:dyDescent="0.3">
      <c r="H306" s="13"/>
      <c r="I306" s="13"/>
    </row>
    <row r="307" spans="8:9" x14ac:dyDescent="0.3">
      <c r="H307" s="13"/>
      <c r="I307" s="13"/>
    </row>
  </sheetData>
  <autoFilter ref="J2:O7" xr:uid="{36E09686-3CF9-4DC9-8B5F-91FCF1A4063F}">
    <sortState xmlns:xlrd2="http://schemas.microsoft.com/office/spreadsheetml/2017/richdata2" ref="J3:O7">
      <sortCondition descending="1" ref="N2:N7"/>
    </sortState>
  </autoFilter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flows</vt:lpstr>
      <vt:lpstr>Average flows</vt:lpstr>
      <vt:lpstr>Stats for 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Gaspar</dc:creator>
  <cp:lastModifiedBy>rober</cp:lastModifiedBy>
  <dcterms:created xsi:type="dcterms:W3CDTF">2020-04-17T10:19:50Z</dcterms:created>
  <dcterms:modified xsi:type="dcterms:W3CDTF">2021-03-10T12:45:40Z</dcterms:modified>
</cp:coreProperties>
</file>