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c4f8c095b6a760a/Atlas/4. Water/surface water/Ephemeral river flows/"/>
    </mc:Choice>
  </mc:AlternateContent>
  <xr:revisionPtr revIDLastSave="47" documentId="11_C5B6D61CC44495C45399C9F2A65C94CD224F47DD" xr6:coauthVersionLast="45" xr6:coauthVersionMax="45" xr10:uidLastSave="{8AADCBDD-9D94-479B-A75A-7B70DEAD731C}"/>
  <bookViews>
    <workbookView xWindow="-120" yWindow="-120" windowWidth="29040" windowHeight="15990" activeTab="1" xr2:uid="{00000000-000D-0000-FFFF-FFFF00000000}"/>
  </bookViews>
  <sheets>
    <sheet name="Amasib" sheetId="1" r:id="rId1"/>
    <sheet name="Grap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6" i="2" l="1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15" i="2"/>
  <c r="C14" i="2"/>
  <c r="C13" i="2"/>
  <c r="C12" i="2"/>
  <c r="C11" i="2"/>
  <c r="C10" i="2"/>
  <c r="C9" i="2"/>
  <c r="C8" i="2"/>
  <c r="C7" i="2"/>
  <c r="C6" i="2"/>
</calcChain>
</file>

<file path=xl/sharedStrings.xml><?xml version="1.0" encoding="utf-8"?>
<sst xmlns="http://schemas.openxmlformats.org/spreadsheetml/2006/main" count="234" uniqueCount="89">
  <si>
    <t>Figures are for period starting 00:00</t>
  </si>
  <si>
    <t>Year</t>
  </si>
  <si>
    <t>Missing Days</t>
  </si>
  <si>
    <t>1973/74</t>
  </si>
  <si>
    <t>[0.00]</t>
  </si>
  <si>
    <t>[   ]M</t>
  </si>
  <si>
    <t>1974/75</t>
  </si>
  <si>
    <t>1975/76</t>
  </si>
  <si>
    <t>E</t>
  </si>
  <si>
    <t>1976/77</t>
  </si>
  <si>
    <t>1977/78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</si>
  <si>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</si>
  <si>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</si>
  <si>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</si>
  <si>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</si>
  <si>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</si>
  <si>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</si>
  <si>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</si>
  <si>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</si>
  <si>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</si>
  <si>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</si>
  <si>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</si>
  <si>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</si>
  <si>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</si>
  <si>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</si>
  <si>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</si>
  <si>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</si>
  <si>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</si>
  <si>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</si>
  <si>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</si>
  <si>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[0.07]</t>
  </si>
  <si>
    <t>[0.01]</t>
  </si>
  <si>
    <t>1997/98</t>
  </si>
  <si>
    <t>1998/99</t>
  </si>
  <si>
    <t>1999/0</t>
  </si>
  <si>
    <t>2000/1</t>
  </si>
  <si>
    <t>2001/2</t>
  </si>
  <si>
    <t>2002/3</t>
  </si>
  <si>
    <t>2003/4</t>
  </si>
  <si>
    <t>2004/5</t>
  </si>
  <si>
    <t>2005/6</t>
  </si>
  <si>
    <t>2006/7</t>
  </si>
  <si>
    <t>2007/8</t>
  </si>
  <si>
    <t>------------------ Notes -------------------</t>
  </si>
  <si>
    <t>All recorded data is continuous and reliable</t>
  </si>
  <si>
    <t>except where the following tags are used...</t>
  </si>
  <si>
    <t>E ...  Estimated</t>
  </si>
  <si>
    <t>M ...  Missing Data</t>
  </si>
  <si>
    <t>[    ] Data Not Recorded</t>
  </si>
  <si>
    <t>2008/9</t>
  </si>
  <si>
    <t>2009/10</t>
  </si>
  <si>
    <t>2010/11</t>
  </si>
  <si>
    <t>2011/12</t>
  </si>
  <si>
    <t>2012/13</t>
  </si>
  <si>
    <t>2013/14</t>
  </si>
  <si>
    <t>[0.03]</t>
  </si>
  <si>
    <t>2014/15</t>
  </si>
  <si>
    <t>[0.02]</t>
  </si>
  <si>
    <t>2015/16</t>
  </si>
  <si>
    <t>2016/17</t>
  </si>
  <si>
    <t>2017/18</t>
  </si>
  <si>
    <t>2018/19</t>
  </si>
  <si>
    <t>[0.08]</t>
  </si>
  <si>
    <t>[0.06]</t>
  </si>
  <si>
    <t>[1.46]</t>
  </si>
  <si>
    <t>[4.28]</t>
  </si>
  <si>
    <t>[5.24]</t>
  </si>
  <si>
    <t>[13.52]</t>
  </si>
  <si>
    <t>[10.47]</t>
  </si>
  <si>
    <t>[6.43]</t>
  </si>
  <si>
    <t>[11.94]</t>
  </si>
  <si>
    <t>[57.46]</t>
  </si>
  <si>
    <t xml:space="preserve"> Monthly Mean (m³/s)</t>
  </si>
  <si>
    <t>Qual</t>
  </si>
  <si>
    <t>Annual Max (m³/s)</t>
  </si>
  <si>
    <r>
      <t>Monthly Mean (10</t>
    </r>
    <r>
      <rPr>
        <b/>
        <vertAlign val="superscript"/>
        <sz val="11"/>
        <color theme="1"/>
        <rFont val="Calibri"/>
        <family val="2"/>
        <scheme val="minor"/>
      </rPr>
      <t>6</t>
    </r>
    <r>
      <rPr>
        <b/>
        <sz val="11"/>
        <color theme="1"/>
        <rFont val="Calibri"/>
        <family val="2"/>
        <scheme val="minor"/>
      </rPr>
      <t xml:space="preserve"> m</t>
    </r>
    <r>
      <rPr>
        <b/>
        <sz val="11"/>
        <color theme="1"/>
        <rFont val="Calibri"/>
        <family val="2"/>
      </rPr>
      <t>³)</t>
    </r>
  </si>
  <si>
    <r>
      <t>Annual Total (10</t>
    </r>
    <r>
      <rPr>
        <b/>
        <vertAlign val="superscript"/>
        <sz val="11"/>
        <color theme="1"/>
        <rFont val="Calibri"/>
        <family val="2"/>
        <scheme val="minor"/>
      </rPr>
      <t>6</t>
    </r>
    <r>
      <rPr>
        <b/>
        <sz val="11"/>
        <color theme="1"/>
        <rFont val="Calibri"/>
        <family val="2"/>
        <scheme val="minor"/>
      </rPr>
      <t xml:space="preserve"> m³)</t>
    </r>
  </si>
  <si>
    <t>[0.23]</t>
  </si>
  <si>
    <t>[0.35]</t>
  </si>
  <si>
    <t>[0.14]</t>
  </si>
  <si>
    <t>[0.93]</t>
  </si>
  <si>
    <t>[0.73]</t>
  </si>
  <si>
    <t>Latitude: 23°04'00.0"S</t>
  </si>
  <si>
    <t>Longitude: 18°38'00.0"E</t>
  </si>
  <si>
    <t>3112M02 - White Nossob River at Amasib</t>
  </si>
  <si>
    <t>Catchment</t>
  </si>
  <si>
    <t>= 9250km2</t>
  </si>
  <si>
    <r>
      <t>Annual Total (10</t>
    </r>
    <r>
      <rPr>
        <b/>
        <vertAlign val="superscript"/>
        <sz val="11"/>
        <color theme="0" tint="-0.34998626667073579"/>
        <rFont val="Calibri"/>
        <family val="2"/>
        <scheme val="minor"/>
      </rPr>
      <t>5</t>
    </r>
    <r>
      <rPr>
        <b/>
        <sz val="11"/>
        <color theme="0" tint="-0.34998626667073579"/>
        <rFont val="Calibri"/>
        <family val="2"/>
        <scheme val="minor"/>
      </rPr>
      <t xml:space="preserve"> m³)</t>
    </r>
  </si>
  <si>
    <t>Annual Total (Million 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</si>
</sst>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vertAlign val="superscript"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/>
    </xf>
    <xf numFmtId="2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1" fillId="0" borderId="0" xfId="0" applyFont="1" applyFill="1"/>
    <xf numFmtId="0" fontId="0" fillId="0" borderId="0" xfId="0" applyFill="1"/>
    <xf numFmtId="0" fontId="1" fillId="2" borderId="0" xfId="0" applyFont="1" applyFill="1" applyAlignment="1">
      <alignment horizontal="center" vertical="center"/>
    </xf>
    <xf numFmtId="164" fontId="4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0" fillId="3" borderId="0" xfId="0" applyNumberFormat="1" applyFill="1" applyAlignment="1">
      <alignment horizontal="right"/>
    </xf>
    <xf numFmtId="164" fontId="4" fillId="3" borderId="0" xfId="0" applyNumberFormat="1" applyFont="1" applyFill="1" applyAlignment="1">
      <alignment horizontal="right"/>
    </xf>
    <xf numFmtId="0" fontId="1" fillId="0" borderId="0" xfId="0" applyFont="1" applyAlignment="1"/>
    <xf numFmtId="0" fontId="0" fillId="0" borderId="0" xfId="0" quotePrefix="1"/>
    <xf numFmtId="0" fontId="6" fillId="2" borderId="0" xfId="0" applyFont="1" applyFill="1" applyAlignment="1">
      <alignment horizontal="center" vertical="center" wrapText="1"/>
    </xf>
    <xf numFmtId="164" fontId="8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White Nossob Flows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Annual Max (m3/s)</c:v>
          </c:tx>
          <c:spPr>
            <a:solidFill>
              <a:schemeClr val="accent1"/>
            </a:solidFill>
            <a:ln w="0">
              <a:solidFill>
                <a:schemeClr val="accent1"/>
              </a:solidFill>
            </a:ln>
            <a:effectLst/>
          </c:spPr>
          <c:invertIfNegative val="0"/>
          <c:cat>
            <c:strRef>
              <c:f>Graph!$A$6:$A$51</c:f>
              <c:strCache>
                <c:ptCount val="46"/>
                <c:pt idx="0">
                  <c:v>1973/74</c:v>
                </c:pt>
                <c:pt idx="1">
                  <c:v>1974/75</c:v>
                </c:pt>
                <c:pt idx="2">
                  <c:v>1975/76</c:v>
                </c:pt>
                <c:pt idx="3">
                  <c:v>1976/77</c:v>
                </c:pt>
                <c:pt idx="4">
                  <c:v>1977/78</c:v>
                </c:pt>
                <c:pt idx="5">
                  <c:v>1978/79</c:v>
                </c:pt>
                <c:pt idx="6">
                  <c:v>1979/80</c:v>
                </c:pt>
                <c:pt idx="7">
                  <c:v>1980/81</c:v>
                </c:pt>
                <c:pt idx="8">
                  <c:v>1981/82</c:v>
                </c:pt>
                <c:pt idx="9">
                  <c:v>1982/83</c:v>
                </c:pt>
                <c:pt idx="10">
                  <c:v>1983/84</c:v>
                </c:pt>
                <c:pt idx="11">
                  <c:v>1984/85</c:v>
                </c:pt>
                <c:pt idx="12">
                  <c:v>1985/86</c:v>
                </c:pt>
                <c:pt idx="13">
                  <c:v>1986/87</c:v>
                </c:pt>
                <c:pt idx="14">
                  <c:v>1987/88</c:v>
                </c:pt>
                <c:pt idx="15">
                  <c:v>1988/89</c:v>
                </c:pt>
                <c:pt idx="16">
                  <c:v>1989/90</c:v>
                </c:pt>
                <c:pt idx="17">
                  <c:v>1990/91</c:v>
                </c:pt>
                <c:pt idx="18">
                  <c:v>1991/92</c:v>
                </c:pt>
                <c:pt idx="19">
                  <c:v>1992/93</c:v>
                </c:pt>
                <c:pt idx="20">
                  <c:v>1993/94</c:v>
                </c:pt>
                <c:pt idx="21">
                  <c:v>1994/95</c:v>
                </c:pt>
                <c:pt idx="22">
                  <c:v>1995/96</c:v>
                </c:pt>
                <c:pt idx="23">
                  <c:v>1996/97</c:v>
                </c:pt>
                <c:pt idx="24">
                  <c:v>1997/98</c:v>
                </c:pt>
                <c:pt idx="25">
                  <c:v>1998/99</c:v>
                </c:pt>
                <c:pt idx="26">
                  <c:v>1999/0</c:v>
                </c:pt>
                <c:pt idx="27">
                  <c:v>2000/1</c:v>
                </c:pt>
                <c:pt idx="28">
                  <c:v>2001/2</c:v>
                </c:pt>
                <c:pt idx="29">
                  <c:v>2002/3</c:v>
                </c:pt>
                <c:pt idx="30">
                  <c:v>2003/4</c:v>
                </c:pt>
                <c:pt idx="31">
                  <c:v>2004/5</c:v>
                </c:pt>
                <c:pt idx="32">
                  <c:v>2005/6</c:v>
                </c:pt>
                <c:pt idx="33">
                  <c:v>2006/7</c:v>
                </c:pt>
                <c:pt idx="34">
                  <c:v>2007/8</c:v>
                </c:pt>
                <c:pt idx="35">
                  <c:v>2008/9</c:v>
                </c:pt>
                <c:pt idx="36">
                  <c:v>2009/10</c:v>
                </c:pt>
                <c:pt idx="37">
                  <c:v>2010/11</c:v>
                </c:pt>
                <c:pt idx="38">
                  <c:v>2011/12</c:v>
                </c:pt>
                <c:pt idx="39">
                  <c:v>2012/13</c:v>
                </c:pt>
                <c:pt idx="40">
                  <c:v>2013/14</c:v>
                </c:pt>
                <c:pt idx="41">
                  <c:v>2014/15</c:v>
                </c:pt>
                <c:pt idx="42">
                  <c:v>2015/16</c:v>
                </c:pt>
                <c:pt idx="43">
                  <c:v>2016/17</c:v>
                </c:pt>
                <c:pt idx="44">
                  <c:v>2017/18</c:v>
                </c:pt>
                <c:pt idx="45">
                  <c:v>2018/19</c:v>
                </c:pt>
              </c:strCache>
            </c:strRef>
          </c:cat>
          <c:val>
            <c:numRef>
              <c:f>Graph!$B$6:$B$51</c:f>
              <c:numCache>
                <c:formatCode>0.000</c:formatCode>
                <c:ptCount val="46"/>
                <c:pt idx="0">
                  <c:v>0</c:v>
                </c:pt>
                <c:pt idx="1">
                  <c:v>3.94</c:v>
                </c:pt>
                <c:pt idx="2">
                  <c:v>50.18</c:v>
                </c:pt>
                <c:pt idx="3">
                  <c:v>0.56000000000000005</c:v>
                </c:pt>
                <c:pt idx="4">
                  <c:v>100.9</c:v>
                </c:pt>
                <c:pt idx="5">
                  <c:v>0.32</c:v>
                </c:pt>
                <c:pt idx="6">
                  <c:v>4.05</c:v>
                </c:pt>
                <c:pt idx="7">
                  <c:v>8.7200000000000006</c:v>
                </c:pt>
                <c:pt idx="8">
                  <c:v>1.46</c:v>
                </c:pt>
                <c:pt idx="9">
                  <c:v>1.46</c:v>
                </c:pt>
                <c:pt idx="10">
                  <c:v>16.96</c:v>
                </c:pt>
                <c:pt idx="11">
                  <c:v>2.61</c:v>
                </c:pt>
                <c:pt idx="12">
                  <c:v>8.3699999999999992</c:v>
                </c:pt>
                <c:pt idx="13">
                  <c:v>4.28</c:v>
                </c:pt>
                <c:pt idx="14">
                  <c:v>11.4</c:v>
                </c:pt>
                <c:pt idx="15">
                  <c:v>7.0000000000000007E-2</c:v>
                </c:pt>
                <c:pt idx="16">
                  <c:v>0</c:v>
                </c:pt>
                <c:pt idx="17">
                  <c:v>13.57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5.24</c:v>
                </c:pt>
                <c:pt idx="24">
                  <c:v>7.76</c:v>
                </c:pt>
                <c:pt idx="25">
                  <c:v>0</c:v>
                </c:pt>
                <c:pt idx="26">
                  <c:v>13.52</c:v>
                </c:pt>
                <c:pt idx="27">
                  <c:v>0</c:v>
                </c:pt>
                <c:pt idx="28">
                  <c:v>14.03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10.47</c:v>
                </c:pt>
                <c:pt idx="33">
                  <c:v>0</c:v>
                </c:pt>
                <c:pt idx="34">
                  <c:v>6.43</c:v>
                </c:pt>
                <c:pt idx="35">
                  <c:v>0</c:v>
                </c:pt>
                <c:pt idx="36">
                  <c:v>0</c:v>
                </c:pt>
                <c:pt idx="37">
                  <c:v>0.19</c:v>
                </c:pt>
                <c:pt idx="38">
                  <c:v>1.87</c:v>
                </c:pt>
                <c:pt idx="39">
                  <c:v>0</c:v>
                </c:pt>
                <c:pt idx="40">
                  <c:v>11.94</c:v>
                </c:pt>
                <c:pt idx="41">
                  <c:v>57.46</c:v>
                </c:pt>
                <c:pt idx="42">
                  <c:v>56.14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A-4081-B3A1-45386F420503}"/>
            </c:ext>
          </c:extLst>
        </c:ser>
        <c:ser>
          <c:idx val="1"/>
          <c:order val="1"/>
          <c:tx>
            <c:strRef>
              <c:f>Graph!$C$5</c:f>
              <c:strCache>
                <c:ptCount val="1"/>
                <c:pt idx="0">
                  <c:v>Annual Total (105 m³)</c:v>
                </c:pt>
              </c:strCache>
            </c:strRef>
          </c:tx>
          <c:spPr>
            <a:solidFill>
              <a:schemeClr val="accent2"/>
            </a:solidFill>
            <a:ln w="0">
              <a:solidFill>
                <a:schemeClr val="accent2"/>
              </a:solidFill>
            </a:ln>
            <a:effectLst/>
          </c:spPr>
          <c:invertIfNegative val="0"/>
          <c:cat>
            <c:strRef>
              <c:f>Graph!$A$6:$A$51</c:f>
              <c:strCache>
                <c:ptCount val="46"/>
                <c:pt idx="0">
                  <c:v>1973/74</c:v>
                </c:pt>
                <c:pt idx="1">
                  <c:v>1974/75</c:v>
                </c:pt>
                <c:pt idx="2">
                  <c:v>1975/76</c:v>
                </c:pt>
                <c:pt idx="3">
                  <c:v>1976/77</c:v>
                </c:pt>
                <c:pt idx="4">
                  <c:v>1977/78</c:v>
                </c:pt>
                <c:pt idx="5">
                  <c:v>1978/79</c:v>
                </c:pt>
                <c:pt idx="6">
                  <c:v>1979/80</c:v>
                </c:pt>
                <c:pt idx="7">
                  <c:v>1980/81</c:v>
                </c:pt>
                <c:pt idx="8">
                  <c:v>1981/82</c:v>
                </c:pt>
                <c:pt idx="9">
                  <c:v>1982/83</c:v>
                </c:pt>
                <c:pt idx="10">
                  <c:v>1983/84</c:v>
                </c:pt>
                <c:pt idx="11">
                  <c:v>1984/85</c:v>
                </c:pt>
                <c:pt idx="12">
                  <c:v>1985/86</c:v>
                </c:pt>
                <c:pt idx="13">
                  <c:v>1986/87</c:v>
                </c:pt>
                <c:pt idx="14">
                  <c:v>1987/88</c:v>
                </c:pt>
                <c:pt idx="15">
                  <c:v>1988/89</c:v>
                </c:pt>
                <c:pt idx="16">
                  <c:v>1989/90</c:v>
                </c:pt>
                <c:pt idx="17">
                  <c:v>1990/91</c:v>
                </c:pt>
                <c:pt idx="18">
                  <c:v>1991/92</c:v>
                </c:pt>
                <c:pt idx="19">
                  <c:v>1992/93</c:v>
                </c:pt>
                <c:pt idx="20">
                  <c:v>1993/94</c:v>
                </c:pt>
                <c:pt idx="21">
                  <c:v>1994/95</c:v>
                </c:pt>
                <c:pt idx="22">
                  <c:v>1995/96</c:v>
                </c:pt>
                <c:pt idx="23">
                  <c:v>1996/97</c:v>
                </c:pt>
                <c:pt idx="24">
                  <c:v>1997/98</c:v>
                </c:pt>
                <c:pt idx="25">
                  <c:v>1998/99</c:v>
                </c:pt>
                <c:pt idx="26">
                  <c:v>1999/0</c:v>
                </c:pt>
                <c:pt idx="27">
                  <c:v>2000/1</c:v>
                </c:pt>
                <c:pt idx="28">
                  <c:v>2001/2</c:v>
                </c:pt>
                <c:pt idx="29">
                  <c:v>2002/3</c:v>
                </c:pt>
                <c:pt idx="30">
                  <c:v>2003/4</c:v>
                </c:pt>
                <c:pt idx="31">
                  <c:v>2004/5</c:v>
                </c:pt>
                <c:pt idx="32">
                  <c:v>2005/6</c:v>
                </c:pt>
                <c:pt idx="33">
                  <c:v>2006/7</c:v>
                </c:pt>
                <c:pt idx="34">
                  <c:v>2007/8</c:v>
                </c:pt>
                <c:pt idx="35">
                  <c:v>2008/9</c:v>
                </c:pt>
                <c:pt idx="36">
                  <c:v>2009/10</c:v>
                </c:pt>
                <c:pt idx="37">
                  <c:v>2010/11</c:v>
                </c:pt>
                <c:pt idx="38">
                  <c:v>2011/12</c:v>
                </c:pt>
                <c:pt idx="39">
                  <c:v>2012/13</c:v>
                </c:pt>
                <c:pt idx="40">
                  <c:v>2013/14</c:v>
                </c:pt>
                <c:pt idx="41">
                  <c:v>2014/15</c:v>
                </c:pt>
                <c:pt idx="42">
                  <c:v>2015/16</c:v>
                </c:pt>
                <c:pt idx="43">
                  <c:v>2016/17</c:v>
                </c:pt>
                <c:pt idx="44">
                  <c:v>2017/18</c:v>
                </c:pt>
                <c:pt idx="45">
                  <c:v>2018/19</c:v>
                </c:pt>
              </c:strCache>
            </c:strRef>
          </c:cat>
          <c:val>
            <c:numRef>
              <c:f>Graph!$C$6:$C$51</c:f>
              <c:numCache>
                <c:formatCode>0.000</c:formatCode>
                <c:ptCount val="46"/>
                <c:pt idx="0">
                  <c:v>0</c:v>
                </c:pt>
                <c:pt idx="1">
                  <c:v>1.4000000000000001</c:v>
                </c:pt>
                <c:pt idx="2">
                  <c:v>109.9</c:v>
                </c:pt>
                <c:pt idx="3">
                  <c:v>2.2000000000000002</c:v>
                </c:pt>
                <c:pt idx="4">
                  <c:v>75</c:v>
                </c:pt>
                <c:pt idx="5">
                  <c:v>0.4</c:v>
                </c:pt>
                <c:pt idx="6">
                  <c:v>1.1000000000000001</c:v>
                </c:pt>
                <c:pt idx="7">
                  <c:v>1</c:v>
                </c:pt>
                <c:pt idx="8">
                  <c:v>0.2</c:v>
                </c:pt>
                <c:pt idx="9">
                  <c:v>0.3</c:v>
                </c:pt>
                <c:pt idx="10">
                  <c:v>6.4</c:v>
                </c:pt>
                <c:pt idx="11">
                  <c:v>0.4</c:v>
                </c:pt>
                <c:pt idx="12">
                  <c:v>0.70000000000000007</c:v>
                </c:pt>
                <c:pt idx="13">
                  <c:v>0.2</c:v>
                </c:pt>
                <c:pt idx="14">
                  <c:v>4.2</c:v>
                </c:pt>
                <c:pt idx="15">
                  <c:v>0</c:v>
                </c:pt>
                <c:pt idx="16">
                  <c:v>0</c:v>
                </c:pt>
                <c:pt idx="17">
                  <c:v>4.9000000000000004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0.70000000000000007</c:v>
                </c:pt>
                <c:pt idx="24">
                  <c:v>0.6</c:v>
                </c:pt>
                <c:pt idx="25">
                  <c:v>0</c:v>
                </c:pt>
                <c:pt idx="26">
                  <c:v>2.3000000000000003</c:v>
                </c:pt>
                <c:pt idx="27">
                  <c:v>0</c:v>
                </c:pt>
                <c:pt idx="28">
                  <c:v>1.6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3.5</c:v>
                </c:pt>
                <c:pt idx="33">
                  <c:v>0</c:v>
                </c:pt>
                <c:pt idx="34">
                  <c:v>1.4000000000000001</c:v>
                </c:pt>
                <c:pt idx="35">
                  <c:v>0</c:v>
                </c:pt>
                <c:pt idx="36">
                  <c:v>0</c:v>
                </c:pt>
                <c:pt idx="37">
                  <c:v>5.6999999999999993</c:v>
                </c:pt>
                <c:pt idx="38">
                  <c:v>13.700000000000001</c:v>
                </c:pt>
                <c:pt idx="39">
                  <c:v>0</c:v>
                </c:pt>
                <c:pt idx="40">
                  <c:v>9.3000000000000007</c:v>
                </c:pt>
                <c:pt idx="41">
                  <c:v>7.3</c:v>
                </c:pt>
                <c:pt idx="42">
                  <c:v>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4A-4081-B3A1-45386F420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80112080"/>
        <c:axId val="2088337920"/>
      </c:barChart>
      <c:catAx>
        <c:axId val="208011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337920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208833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11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6</xdr:row>
      <xdr:rowOff>33336</xdr:rowOff>
    </xdr:from>
    <xdr:to>
      <xdr:col>15</xdr:col>
      <xdr:colOff>600075</xdr:colOff>
      <xdr:row>26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3"/>
  <sheetViews>
    <sheetView workbookViewId="0">
      <pane ySplit="5" topLeftCell="A6" activePane="bottomLeft" state="frozen"/>
      <selection pane="bottomLeft" activeCell="L9" sqref="L9"/>
    </sheetView>
  </sheetViews>
  <sheetFormatPr defaultRowHeight="15" x14ac:dyDescent="0.25"/>
  <cols>
    <col min="1" max="1" width="7.85546875" bestFit="1" customWidth="1"/>
    <col min="2" max="2" width="9" bestFit="1" customWidth="1"/>
    <col min="3" max="3" width="5.5703125" customWidth="1"/>
    <col min="4" max="4" width="7.5703125" bestFit="1" customWidth="1"/>
    <col min="5" max="5" width="5.42578125" bestFit="1" customWidth="1"/>
    <col min="6" max="6" width="8.5703125" bestFit="1" customWidth="1"/>
    <col min="7" max="7" width="5.42578125" bestFit="1" customWidth="1"/>
    <col min="8" max="8" width="8" bestFit="1" customWidth="1"/>
    <col min="9" max="9" width="5.42578125" bestFit="1" customWidth="1"/>
    <col min="10" max="10" width="7.85546875" bestFit="1" customWidth="1"/>
  </cols>
  <sheetData>
    <row r="1" spans="1:10" x14ac:dyDescent="0.25">
      <c r="A1" s="18" t="s">
        <v>84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25">
      <c r="A2" s="18" t="s">
        <v>82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x14ac:dyDescent="0.25">
      <c r="A3" s="18" t="s">
        <v>83</v>
      </c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25">
      <c r="A4" s="18" t="s">
        <v>0</v>
      </c>
      <c r="B4" s="18"/>
      <c r="C4" s="18"/>
      <c r="D4" s="18"/>
      <c r="E4" s="18"/>
      <c r="F4" s="18"/>
      <c r="G4" s="18"/>
      <c r="H4" s="18"/>
      <c r="I4" s="18"/>
      <c r="J4" s="18"/>
    </row>
    <row r="5" spans="1:10" ht="47.25" x14ac:dyDescent="0.25">
      <c r="A5" s="9" t="s">
        <v>1</v>
      </c>
      <c r="B5" s="2" t="s">
        <v>72</v>
      </c>
      <c r="C5" s="2" t="s">
        <v>73</v>
      </c>
      <c r="D5" s="5" t="s">
        <v>74</v>
      </c>
      <c r="E5" s="6" t="s">
        <v>73</v>
      </c>
      <c r="F5" s="2" t="s">
        <v>75</v>
      </c>
      <c r="G5" s="2" t="s">
        <v>73</v>
      </c>
      <c r="H5" s="2" t="s">
        <v>76</v>
      </c>
      <c r="I5" s="2" t="s">
        <v>73</v>
      </c>
      <c r="J5" s="2" t="s">
        <v>2</v>
      </c>
    </row>
    <row r="6" spans="1:10" x14ac:dyDescent="0.25">
      <c r="A6" t="s">
        <v>3</v>
      </c>
      <c r="B6" s="4" t="s">
        <v>4</v>
      </c>
      <c r="C6" s="4"/>
      <c r="D6" s="10" t="s">
        <v>4</v>
      </c>
      <c r="E6" s="4"/>
      <c r="F6" s="4" t="s">
        <v>4</v>
      </c>
      <c r="G6" s="4"/>
      <c r="H6" s="4" t="s">
        <v>4</v>
      </c>
      <c r="I6" s="4"/>
      <c r="J6">
        <v>91</v>
      </c>
    </row>
    <row r="7" spans="1:10" x14ac:dyDescent="0.25">
      <c r="A7" t="s">
        <v>6</v>
      </c>
      <c r="B7" s="4">
        <v>0</v>
      </c>
      <c r="C7" s="4"/>
      <c r="D7" s="4">
        <v>3.94</v>
      </c>
      <c r="E7" s="4"/>
      <c r="F7" s="4">
        <v>0.01</v>
      </c>
      <c r="G7" s="4"/>
      <c r="H7" s="4">
        <v>0.14000000000000001</v>
      </c>
      <c r="I7" s="4"/>
      <c r="J7">
        <v>0</v>
      </c>
    </row>
    <row r="8" spans="1:10" x14ac:dyDescent="0.25">
      <c r="A8" t="s">
        <v>7</v>
      </c>
      <c r="B8" s="4">
        <v>0.34</v>
      </c>
      <c r="C8" s="4" t="s">
        <v>8</v>
      </c>
      <c r="D8" s="4">
        <v>50.18</v>
      </c>
      <c r="E8" s="4" t="s">
        <v>8</v>
      </c>
      <c r="F8" s="4">
        <v>0.92</v>
      </c>
      <c r="G8" s="4" t="s">
        <v>8</v>
      </c>
      <c r="H8" s="4">
        <v>10.99</v>
      </c>
      <c r="I8" s="4" t="s">
        <v>8</v>
      </c>
      <c r="J8">
        <v>0</v>
      </c>
    </row>
    <row r="9" spans="1:10" x14ac:dyDescent="0.25">
      <c r="A9" t="s">
        <v>9</v>
      </c>
      <c r="B9" s="4">
        <v>0.01</v>
      </c>
      <c r="C9" s="4" t="s">
        <v>8</v>
      </c>
      <c r="D9" s="4">
        <v>0.56000000000000005</v>
      </c>
      <c r="E9" s="4" t="s">
        <v>8</v>
      </c>
      <c r="F9" s="4">
        <v>0.02</v>
      </c>
      <c r="G9" s="4" t="s">
        <v>8</v>
      </c>
      <c r="H9" s="4">
        <v>0.22</v>
      </c>
      <c r="I9" s="4" t="s">
        <v>8</v>
      </c>
      <c r="J9">
        <v>0</v>
      </c>
    </row>
    <row r="10" spans="1:10" x14ac:dyDescent="0.25">
      <c r="A10" t="s">
        <v>10</v>
      </c>
      <c r="B10" s="4">
        <v>0.25</v>
      </c>
      <c r="C10" s="4" t="s">
        <v>8</v>
      </c>
      <c r="D10" s="4">
        <v>100.9</v>
      </c>
      <c r="E10" s="4" t="s">
        <v>8</v>
      </c>
      <c r="F10" s="4">
        <v>0.62</v>
      </c>
      <c r="G10" s="4" t="s">
        <v>8</v>
      </c>
      <c r="H10" s="4">
        <v>7.5</v>
      </c>
      <c r="I10" s="4" t="s">
        <v>8</v>
      </c>
      <c r="J10">
        <v>0</v>
      </c>
    </row>
    <row r="11" spans="1:10" x14ac:dyDescent="0.25">
      <c r="A11" t="s">
        <v>11</v>
      </c>
      <c r="B11" s="4">
        <v>0</v>
      </c>
      <c r="C11" s="4"/>
      <c r="D11" s="4">
        <v>0.32</v>
      </c>
      <c r="E11" s="4"/>
      <c r="F11" s="4">
        <v>0</v>
      </c>
      <c r="G11" s="4"/>
      <c r="H11" s="4">
        <v>0.04</v>
      </c>
      <c r="I11" s="4"/>
      <c r="J11">
        <v>0</v>
      </c>
    </row>
    <row r="12" spans="1:10" x14ac:dyDescent="0.25">
      <c r="A12" t="s">
        <v>12</v>
      </c>
      <c r="B12" s="4">
        <v>0</v>
      </c>
      <c r="C12" s="4" t="s">
        <v>8</v>
      </c>
      <c r="D12" s="4">
        <v>4.05</v>
      </c>
      <c r="E12" s="4" t="s">
        <v>8</v>
      </c>
      <c r="F12" s="4">
        <v>0.01</v>
      </c>
      <c r="G12" s="4" t="s">
        <v>8</v>
      </c>
      <c r="H12" s="4">
        <v>0.11</v>
      </c>
      <c r="I12" s="4" t="s">
        <v>8</v>
      </c>
      <c r="J12">
        <v>0</v>
      </c>
    </row>
    <row r="13" spans="1:10" x14ac:dyDescent="0.25">
      <c r="A13" t="s">
        <v>13</v>
      </c>
      <c r="B13" s="4">
        <v>0</v>
      </c>
      <c r="C13" s="4"/>
      <c r="D13" s="4">
        <v>8.7200000000000006</v>
      </c>
      <c r="E13" s="4"/>
      <c r="F13" s="4">
        <v>0.01</v>
      </c>
      <c r="G13" s="4"/>
      <c r="H13" s="4">
        <v>0.1</v>
      </c>
      <c r="I13" s="4"/>
      <c r="J13">
        <v>0</v>
      </c>
    </row>
    <row r="14" spans="1:10" x14ac:dyDescent="0.25">
      <c r="A14" t="s">
        <v>14</v>
      </c>
      <c r="B14" s="4">
        <v>0</v>
      </c>
      <c r="C14" s="4"/>
      <c r="D14" s="4">
        <v>1.46</v>
      </c>
      <c r="E14" s="4"/>
      <c r="F14" s="4">
        <v>0</v>
      </c>
      <c r="G14" s="4"/>
      <c r="H14" s="4">
        <v>0.02</v>
      </c>
      <c r="I14" s="4"/>
      <c r="J14">
        <v>0</v>
      </c>
    </row>
    <row r="15" spans="1:10" x14ac:dyDescent="0.25">
      <c r="A15" t="s">
        <v>15</v>
      </c>
      <c r="B15" s="4" t="s">
        <v>4</v>
      </c>
      <c r="C15" s="4"/>
      <c r="D15" s="4" t="s">
        <v>64</v>
      </c>
      <c r="E15" s="4"/>
      <c r="F15" s="4" t="s">
        <v>4</v>
      </c>
      <c r="G15" s="4"/>
      <c r="H15" s="4" t="s">
        <v>55</v>
      </c>
      <c r="I15" s="4"/>
      <c r="J15">
        <v>52</v>
      </c>
    </row>
    <row r="16" spans="1:10" x14ac:dyDescent="0.25">
      <c r="A16" t="s">
        <v>16</v>
      </c>
      <c r="B16" s="4">
        <v>0.02</v>
      </c>
      <c r="C16" s="4"/>
      <c r="D16" s="4">
        <v>16.96</v>
      </c>
      <c r="E16" s="4"/>
      <c r="F16" s="4">
        <v>0.05</v>
      </c>
      <c r="G16" s="4"/>
      <c r="H16" s="4">
        <v>0.64</v>
      </c>
      <c r="I16" s="4"/>
      <c r="J16">
        <v>0</v>
      </c>
    </row>
    <row r="17" spans="1:12" x14ac:dyDescent="0.25">
      <c r="A17" t="s">
        <v>17</v>
      </c>
      <c r="B17" s="4">
        <v>0</v>
      </c>
      <c r="C17" s="4"/>
      <c r="D17" s="4">
        <v>2.61</v>
      </c>
      <c r="E17" s="4"/>
      <c r="F17" s="4">
        <v>0</v>
      </c>
      <c r="G17" s="4"/>
      <c r="H17" s="4">
        <v>0.04</v>
      </c>
      <c r="I17" s="4"/>
      <c r="J17">
        <v>0</v>
      </c>
    </row>
    <row r="18" spans="1:12" x14ac:dyDescent="0.25">
      <c r="A18" t="s">
        <v>18</v>
      </c>
      <c r="B18" s="4">
        <v>0</v>
      </c>
      <c r="C18" s="4"/>
      <c r="D18" s="4">
        <v>8.3699999999999992</v>
      </c>
      <c r="E18" s="4"/>
      <c r="F18" s="4">
        <v>0.01</v>
      </c>
      <c r="G18" s="4"/>
      <c r="H18" s="4">
        <v>7.0000000000000007E-2</v>
      </c>
      <c r="I18" s="4"/>
      <c r="J18">
        <v>0</v>
      </c>
    </row>
    <row r="19" spans="1:12" x14ac:dyDescent="0.25">
      <c r="A19" t="s">
        <v>19</v>
      </c>
      <c r="B19" s="4" t="s">
        <v>4</v>
      </c>
      <c r="C19" s="4"/>
      <c r="D19" s="4" t="s">
        <v>65</v>
      </c>
      <c r="E19" s="4"/>
      <c r="F19" s="4" t="s">
        <v>4</v>
      </c>
      <c r="G19" s="4"/>
      <c r="H19" s="4" t="s">
        <v>57</v>
      </c>
      <c r="I19" s="4"/>
      <c r="J19">
        <v>16</v>
      </c>
    </row>
    <row r="20" spans="1:12" x14ac:dyDescent="0.25">
      <c r="A20" t="s">
        <v>20</v>
      </c>
      <c r="B20" s="4">
        <v>0.01</v>
      </c>
      <c r="C20" s="4" t="s">
        <v>8</v>
      </c>
      <c r="D20" s="4">
        <v>11.4</v>
      </c>
      <c r="E20" s="4" t="s">
        <v>8</v>
      </c>
      <c r="F20" s="4">
        <v>0.03</v>
      </c>
      <c r="G20" s="4" t="s">
        <v>8</v>
      </c>
      <c r="H20" s="4">
        <v>0.42</v>
      </c>
      <c r="I20" s="4" t="s">
        <v>8</v>
      </c>
      <c r="J20">
        <v>0</v>
      </c>
    </row>
    <row r="21" spans="1:12" x14ac:dyDescent="0.25">
      <c r="A21" t="s">
        <v>21</v>
      </c>
      <c r="B21" s="4" t="s">
        <v>4</v>
      </c>
      <c r="C21" s="4"/>
      <c r="D21" s="4" t="s">
        <v>30</v>
      </c>
      <c r="E21" s="4"/>
      <c r="F21" s="4" t="s">
        <v>4</v>
      </c>
      <c r="G21" s="4"/>
      <c r="H21" s="4" t="s">
        <v>4</v>
      </c>
      <c r="I21" s="4"/>
      <c r="J21">
        <v>16</v>
      </c>
    </row>
    <row r="22" spans="1:12" x14ac:dyDescent="0.25">
      <c r="A22" t="s">
        <v>22</v>
      </c>
      <c r="B22" s="4">
        <v>0</v>
      </c>
      <c r="C22" s="4"/>
      <c r="D22" s="10">
        <v>0</v>
      </c>
      <c r="E22" s="4"/>
      <c r="F22" s="4">
        <v>0</v>
      </c>
      <c r="G22" s="4"/>
      <c r="H22" s="4">
        <v>0</v>
      </c>
      <c r="I22" s="4"/>
      <c r="J22">
        <v>0</v>
      </c>
    </row>
    <row r="23" spans="1:12" x14ac:dyDescent="0.25">
      <c r="A23" t="s">
        <v>23</v>
      </c>
      <c r="B23" s="4">
        <v>0.02</v>
      </c>
      <c r="C23" s="4" t="s">
        <v>8</v>
      </c>
      <c r="D23" s="4">
        <v>13.57</v>
      </c>
      <c r="E23" s="4" t="s">
        <v>8</v>
      </c>
      <c r="F23" s="4">
        <v>0.04</v>
      </c>
      <c r="G23" s="4" t="s">
        <v>8</v>
      </c>
      <c r="H23" s="4">
        <v>0.49</v>
      </c>
      <c r="I23" s="4" t="s">
        <v>8</v>
      </c>
      <c r="J23">
        <v>0</v>
      </c>
    </row>
    <row r="24" spans="1:12" x14ac:dyDescent="0.25">
      <c r="A24" t="s">
        <v>24</v>
      </c>
      <c r="B24" s="4">
        <v>0</v>
      </c>
      <c r="C24" s="4"/>
      <c r="D24" s="10">
        <v>0</v>
      </c>
      <c r="E24" s="4"/>
      <c r="F24" s="4">
        <v>0</v>
      </c>
      <c r="G24" s="4"/>
      <c r="H24" s="4">
        <v>0</v>
      </c>
      <c r="I24" s="4"/>
      <c r="J24">
        <v>0</v>
      </c>
    </row>
    <row r="25" spans="1:12" x14ac:dyDescent="0.25">
      <c r="A25" t="s">
        <v>25</v>
      </c>
      <c r="B25" s="4" t="s">
        <v>4</v>
      </c>
      <c r="C25" s="4"/>
      <c r="D25" s="10" t="s">
        <v>4</v>
      </c>
      <c r="E25" s="4"/>
      <c r="F25" s="4" t="s">
        <v>4</v>
      </c>
      <c r="G25" s="4"/>
      <c r="H25" s="4" t="s">
        <v>4</v>
      </c>
      <c r="I25" s="4"/>
      <c r="J25">
        <v>68</v>
      </c>
    </row>
    <row r="26" spans="1:12" x14ac:dyDescent="0.25">
      <c r="A26" t="s">
        <v>26</v>
      </c>
      <c r="B26" s="4">
        <v>0</v>
      </c>
      <c r="C26" s="4"/>
      <c r="D26" s="10">
        <v>0</v>
      </c>
      <c r="E26" s="4"/>
      <c r="F26" s="4">
        <v>0</v>
      </c>
      <c r="G26" s="4"/>
      <c r="H26" s="4">
        <v>0</v>
      </c>
      <c r="I26" s="4"/>
      <c r="J26">
        <v>0</v>
      </c>
    </row>
    <row r="27" spans="1:12" x14ac:dyDescent="0.25">
      <c r="A27" t="s">
        <v>27</v>
      </c>
      <c r="B27" s="4">
        <v>0</v>
      </c>
      <c r="C27" s="4"/>
      <c r="D27" s="10">
        <v>0</v>
      </c>
      <c r="E27" s="4"/>
      <c r="F27" s="4">
        <v>0</v>
      </c>
      <c r="G27" s="4"/>
      <c r="H27" s="4">
        <v>0</v>
      </c>
      <c r="I27" s="4"/>
      <c r="J27">
        <v>0</v>
      </c>
    </row>
    <row r="28" spans="1:12" x14ac:dyDescent="0.25">
      <c r="A28" t="s">
        <v>28</v>
      </c>
      <c r="B28" s="4">
        <v>0</v>
      </c>
      <c r="C28" s="4"/>
      <c r="D28" s="10">
        <v>0</v>
      </c>
      <c r="E28" s="4"/>
      <c r="F28" s="4">
        <v>0</v>
      </c>
      <c r="G28" s="4"/>
      <c r="H28" s="4">
        <v>0</v>
      </c>
      <c r="I28" s="4"/>
      <c r="J28">
        <v>0</v>
      </c>
    </row>
    <row r="29" spans="1:12" x14ac:dyDescent="0.25">
      <c r="A29" t="s">
        <v>29</v>
      </c>
      <c r="B29" s="4" t="s">
        <v>31</v>
      </c>
      <c r="C29" s="4"/>
      <c r="D29" s="4" t="s">
        <v>66</v>
      </c>
      <c r="E29" s="4"/>
      <c r="F29" s="4" t="s">
        <v>31</v>
      </c>
      <c r="G29" s="4"/>
      <c r="H29" s="4" t="s">
        <v>30</v>
      </c>
      <c r="I29" s="4"/>
      <c r="J29">
        <v>155</v>
      </c>
      <c r="L29" s="3"/>
    </row>
    <row r="30" spans="1:12" x14ac:dyDescent="0.25">
      <c r="A30" t="s">
        <v>32</v>
      </c>
      <c r="B30" s="4">
        <v>0</v>
      </c>
      <c r="C30" s="4"/>
      <c r="D30" s="4">
        <v>7.76</v>
      </c>
      <c r="E30" s="4"/>
      <c r="F30" s="4">
        <v>0</v>
      </c>
      <c r="G30" s="4"/>
      <c r="H30" s="4">
        <v>0.06</v>
      </c>
      <c r="I30" s="4"/>
      <c r="J30">
        <v>0</v>
      </c>
    </row>
    <row r="31" spans="1:12" x14ac:dyDescent="0.25">
      <c r="A31" t="s">
        <v>33</v>
      </c>
      <c r="B31" s="4" t="s">
        <v>4</v>
      </c>
      <c r="C31" s="4"/>
      <c r="D31" s="10" t="s">
        <v>4</v>
      </c>
      <c r="E31" s="4"/>
      <c r="F31" s="4" t="s">
        <v>4</v>
      </c>
      <c r="G31" s="4"/>
      <c r="H31" s="4" t="s">
        <v>4</v>
      </c>
      <c r="I31" s="4"/>
      <c r="J31">
        <v>46</v>
      </c>
    </row>
    <row r="32" spans="1:12" x14ac:dyDescent="0.25">
      <c r="A32" t="s">
        <v>34</v>
      </c>
      <c r="B32" s="4" t="s">
        <v>31</v>
      </c>
      <c r="C32" s="4"/>
      <c r="D32" s="4" t="s">
        <v>67</v>
      </c>
      <c r="E32" s="4"/>
      <c r="F32" s="4" t="s">
        <v>57</v>
      </c>
      <c r="G32" s="4"/>
      <c r="H32" s="4" t="s">
        <v>77</v>
      </c>
      <c r="I32" s="4"/>
      <c r="J32">
        <v>22</v>
      </c>
    </row>
    <row r="33" spans="1:10" x14ac:dyDescent="0.25">
      <c r="A33" t="s">
        <v>35</v>
      </c>
      <c r="B33" s="4" t="s">
        <v>4</v>
      </c>
      <c r="C33" s="4"/>
      <c r="D33" s="10" t="s">
        <v>4</v>
      </c>
      <c r="E33" s="4"/>
      <c r="F33" s="4" t="s">
        <v>4</v>
      </c>
      <c r="G33" s="4"/>
      <c r="H33" s="4" t="s">
        <v>4</v>
      </c>
      <c r="I33" s="4"/>
      <c r="J33">
        <v>20</v>
      </c>
    </row>
    <row r="34" spans="1:10" x14ac:dyDescent="0.25">
      <c r="A34" t="s">
        <v>36</v>
      </c>
      <c r="B34" s="4">
        <v>0</v>
      </c>
      <c r="C34" s="4"/>
      <c r="D34" s="4">
        <v>14.03</v>
      </c>
      <c r="E34" s="4"/>
      <c r="F34" s="4">
        <v>0.01</v>
      </c>
      <c r="G34" s="4"/>
      <c r="H34" s="4">
        <v>0.16</v>
      </c>
      <c r="I34" s="4"/>
      <c r="J34">
        <v>0</v>
      </c>
    </row>
    <row r="35" spans="1:10" x14ac:dyDescent="0.25">
      <c r="A35" t="s">
        <v>37</v>
      </c>
      <c r="B35" s="4" t="s">
        <v>4</v>
      </c>
      <c r="C35" s="4"/>
      <c r="D35" s="10" t="s">
        <v>4</v>
      </c>
      <c r="E35" s="4"/>
      <c r="F35" s="4" t="s">
        <v>4</v>
      </c>
      <c r="G35" s="4"/>
      <c r="H35" s="4" t="s">
        <v>4</v>
      </c>
      <c r="I35" s="4"/>
      <c r="J35">
        <v>320</v>
      </c>
    </row>
    <row r="36" spans="1:10" x14ac:dyDescent="0.25">
      <c r="A36" t="s">
        <v>38</v>
      </c>
      <c r="B36" s="4"/>
      <c r="C36" s="4" t="s">
        <v>5</v>
      </c>
      <c r="D36" s="10"/>
      <c r="E36" s="4" t="s">
        <v>5</v>
      </c>
      <c r="F36" s="4"/>
      <c r="G36" s="4" t="s">
        <v>5</v>
      </c>
      <c r="H36" s="4"/>
      <c r="I36" s="4" t="s">
        <v>5</v>
      </c>
      <c r="J36">
        <v>366</v>
      </c>
    </row>
    <row r="37" spans="1:10" x14ac:dyDescent="0.25">
      <c r="A37" t="s">
        <v>39</v>
      </c>
      <c r="B37" s="4" t="s">
        <v>4</v>
      </c>
      <c r="C37" s="4"/>
      <c r="D37" s="10" t="s">
        <v>4</v>
      </c>
      <c r="E37" s="4"/>
      <c r="F37" s="4" t="s">
        <v>4</v>
      </c>
      <c r="G37" s="4"/>
      <c r="H37" s="4" t="s">
        <v>4</v>
      </c>
      <c r="I37" s="4"/>
      <c r="J37">
        <v>111</v>
      </c>
    </row>
    <row r="38" spans="1:10" x14ac:dyDescent="0.25">
      <c r="A38" t="s">
        <v>40</v>
      </c>
      <c r="B38" s="4" t="s">
        <v>31</v>
      </c>
      <c r="C38" s="4"/>
      <c r="D38" s="4" t="s">
        <v>68</v>
      </c>
      <c r="E38" s="4"/>
      <c r="F38" s="4" t="s">
        <v>55</v>
      </c>
      <c r="G38" s="4"/>
      <c r="H38" s="4" t="s">
        <v>78</v>
      </c>
      <c r="I38" s="4"/>
      <c r="J38">
        <v>34</v>
      </c>
    </row>
    <row r="39" spans="1:10" x14ac:dyDescent="0.25">
      <c r="A39" t="s">
        <v>41</v>
      </c>
      <c r="B39" s="4" t="s">
        <v>4</v>
      </c>
      <c r="C39" s="4"/>
      <c r="D39" s="10" t="s">
        <v>4</v>
      </c>
      <c r="E39" s="4"/>
      <c r="F39" s="4" t="s">
        <v>4</v>
      </c>
      <c r="G39" s="4"/>
      <c r="H39" s="4" t="s">
        <v>4</v>
      </c>
      <c r="I39" s="4"/>
      <c r="J39">
        <v>52</v>
      </c>
    </row>
    <row r="40" spans="1:10" x14ac:dyDescent="0.25">
      <c r="A40" t="s">
        <v>42</v>
      </c>
      <c r="B40" s="4" t="s">
        <v>31</v>
      </c>
      <c r="C40" s="4"/>
      <c r="D40" s="4" t="s">
        <v>69</v>
      </c>
      <c r="E40" s="4"/>
      <c r="F40" s="4" t="s">
        <v>31</v>
      </c>
      <c r="G40" s="4"/>
      <c r="H40" s="4" t="s">
        <v>79</v>
      </c>
      <c r="I40" s="4"/>
      <c r="J40">
        <v>99</v>
      </c>
    </row>
    <row r="41" spans="1:10" x14ac:dyDescent="0.25">
      <c r="A41" t="s">
        <v>49</v>
      </c>
      <c r="B41" s="4">
        <v>0</v>
      </c>
      <c r="C41" s="4"/>
      <c r="D41" s="10">
        <v>0</v>
      </c>
      <c r="E41" s="4"/>
      <c r="F41" s="4">
        <v>0</v>
      </c>
      <c r="G41" s="4"/>
      <c r="H41" s="4">
        <v>0</v>
      </c>
      <c r="I41" s="4"/>
      <c r="J41">
        <v>0</v>
      </c>
    </row>
    <row r="42" spans="1:10" x14ac:dyDescent="0.25">
      <c r="A42" t="s">
        <v>50</v>
      </c>
      <c r="B42" s="4">
        <v>0</v>
      </c>
      <c r="C42" s="4"/>
      <c r="D42" s="10">
        <v>0</v>
      </c>
      <c r="E42" s="4"/>
      <c r="F42" s="4">
        <v>0</v>
      </c>
      <c r="G42" s="4"/>
      <c r="H42" s="4">
        <v>0</v>
      </c>
      <c r="I42" s="4"/>
      <c r="J42">
        <v>0</v>
      </c>
    </row>
    <row r="43" spans="1:10" x14ac:dyDescent="0.25">
      <c r="A43" t="s">
        <v>51</v>
      </c>
      <c r="B43" s="4">
        <v>0.02</v>
      </c>
      <c r="C43" s="4"/>
      <c r="D43" s="4">
        <v>0.19</v>
      </c>
      <c r="E43" s="4"/>
      <c r="F43" s="4">
        <v>0.05</v>
      </c>
      <c r="G43" s="4"/>
      <c r="H43" s="4">
        <v>0.56999999999999995</v>
      </c>
      <c r="I43" s="4"/>
      <c r="J43">
        <v>0</v>
      </c>
    </row>
    <row r="44" spans="1:10" x14ac:dyDescent="0.25">
      <c r="A44" t="s">
        <v>52</v>
      </c>
      <c r="B44" s="4">
        <v>0.04</v>
      </c>
      <c r="C44" s="4"/>
      <c r="D44" s="4">
        <v>1.87</v>
      </c>
      <c r="E44" s="4"/>
      <c r="F44" s="4">
        <v>0.11</v>
      </c>
      <c r="G44" s="4"/>
      <c r="H44" s="4">
        <v>1.37</v>
      </c>
      <c r="I44" s="4"/>
      <c r="J44">
        <v>0</v>
      </c>
    </row>
    <row r="45" spans="1:10" x14ac:dyDescent="0.25">
      <c r="A45" t="s">
        <v>53</v>
      </c>
      <c r="B45" s="4" t="s">
        <v>4</v>
      </c>
      <c r="C45" s="4"/>
      <c r="D45" s="10" t="s">
        <v>4</v>
      </c>
      <c r="E45" s="4"/>
      <c r="F45" s="4" t="s">
        <v>4</v>
      </c>
      <c r="G45" s="4"/>
      <c r="H45" s="4" t="s">
        <v>4</v>
      </c>
      <c r="I45" s="4"/>
      <c r="J45">
        <v>90</v>
      </c>
    </row>
    <row r="46" spans="1:10" x14ac:dyDescent="0.25">
      <c r="A46" t="s">
        <v>54</v>
      </c>
      <c r="B46" s="4" t="s">
        <v>55</v>
      </c>
      <c r="C46" s="4"/>
      <c r="D46" s="4" t="s">
        <v>70</v>
      </c>
      <c r="E46" s="4"/>
      <c r="F46" s="4" t="s">
        <v>62</v>
      </c>
      <c r="G46" s="4"/>
      <c r="H46" s="4" t="s">
        <v>80</v>
      </c>
      <c r="I46" s="4"/>
      <c r="J46">
        <v>56</v>
      </c>
    </row>
    <row r="47" spans="1:10" x14ac:dyDescent="0.25">
      <c r="A47" t="s">
        <v>56</v>
      </c>
      <c r="B47" s="4" t="s">
        <v>57</v>
      </c>
      <c r="C47" s="4"/>
      <c r="D47" s="4" t="s">
        <v>71</v>
      </c>
      <c r="E47" s="4"/>
      <c r="F47" s="4" t="s">
        <v>63</v>
      </c>
      <c r="G47" s="4"/>
      <c r="H47" s="4" t="s">
        <v>81</v>
      </c>
      <c r="I47" s="4"/>
      <c r="J47">
        <v>28</v>
      </c>
    </row>
    <row r="48" spans="1:10" x14ac:dyDescent="0.25">
      <c r="A48" t="s">
        <v>58</v>
      </c>
      <c r="B48" s="4">
        <v>0.02</v>
      </c>
      <c r="C48" s="4" t="s">
        <v>8</v>
      </c>
      <c r="D48" s="4">
        <v>56.14</v>
      </c>
      <c r="E48" s="4" t="s">
        <v>8</v>
      </c>
      <c r="F48" s="4">
        <v>0.06</v>
      </c>
      <c r="G48" s="4" t="s">
        <v>8</v>
      </c>
      <c r="H48" s="4">
        <v>0.7</v>
      </c>
      <c r="I48" s="4" t="s">
        <v>8</v>
      </c>
      <c r="J48">
        <v>0</v>
      </c>
    </row>
    <row r="49" spans="1:30" x14ac:dyDescent="0.25">
      <c r="A49" t="s">
        <v>59</v>
      </c>
      <c r="B49" s="4" t="s">
        <v>4</v>
      </c>
      <c r="C49" s="4"/>
      <c r="D49" s="10" t="s">
        <v>4</v>
      </c>
      <c r="E49" s="4"/>
      <c r="F49" s="4" t="s">
        <v>4</v>
      </c>
      <c r="G49" s="4"/>
      <c r="H49" s="4" t="s">
        <v>4</v>
      </c>
      <c r="I49" s="4"/>
      <c r="J49">
        <v>96</v>
      </c>
    </row>
    <row r="50" spans="1:30" x14ac:dyDescent="0.25">
      <c r="A50" t="s">
        <v>60</v>
      </c>
      <c r="B50" s="4"/>
      <c r="C50" s="4" t="s">
        <v>5</v>
      </c>
      <c r="D50" s="4"/>
      <c r="E50" s="4" t="s">
        <v>5</v>
      </c>
      <c r="F50" s="4"/>
      <c r="G50" s="4" t="s">
        <v>5</v>
      </c>
      <c r="H50" s="4"/>
      <c r="I50" s="4" t="s">
        <v>5</v>
      </c>
      <c r="J50">
        <v>365</v>
      </c>
    </row>
    <row r="51" spans="1:30" x14ac:dyDescent="0.25">
      <c r="A51" t="s">
        <v>61</v>
      </c>
      <c r="B51" s="4" t="s">
        <v>4</v>
      </c>
      <c r="C51" s="4"/>
      <c r="D51" s="10" t="s">
        <v>4</v>
      </c>
      <c r="E51" s="4"/>
      <c r="F51" s="4" t="s">
        <v>4</v>
      </c>
      <c r="G51" s="4"/>
      <c r="H51" s="4" t="s">
        <v>4</v>
      </c>
      <c r="I51" s="4"/>
      <c r="J51">
        <v>72</v>
      </c>
    </row>
    <row r="52" spans="1:30" x14ac:dyDescent="0.25">
      <c r="C52" s="7" t="s">
        <v>43</v>
      </c>
      <c r="D52" s="8"/>
      <c r="E52" s="8"/>
      <c r="F52" s="8"/>
      <c r="G52" s="8"/>
      <c r="H52" s="8"/>
    </row>
    <row r="53" spans="1:30" x14ac:dyDescent="0.25">
      <c r="C53" s="8" t="s">
        <v>44</v>
      </c>
      <c r="D53" s="8"/>
      <c r="E53" s="8"/>
      <c r="F53" s="8"/>
      <c r="G53" s="8"/>
      <c r="H53" s="8"/>
    </row>
    <row r="54" spans="1:30" x14ac:dyDescent="0.25">
      <c r="C54" s="8" t="s">
        <v>45</v>
      </c>
      <c r="D54" s="8"/>
      <c r="E54" s="8"/>
      <c r="F54" s="8"/>
      <c r="G54" s="8"/>
      <c r="H54" s="8"/>
    </row>
    <row r="55" spans="1:30" x14ac:dyDescent="0.25">
      <c r="C55" s="8" t="s">
        <v>46</v>
      </c>
      <c r="D55" s="8"/>
      <c r="E55" s="8"/>
      <c r="F55" s="8"/>
      <c r="G55" s="8"/>
      <c r="H55" s="8"/>
    </row>
    <row r="56" spans="1:30" x14ac:dyDescent="0.25">
      <c r="C56" s="8" t="s">
        <v>47</v>
      </c>
      <c r="D56" s="8"/>
      <c r="E56" s="8"/>
      <c r="F56" s="8"/>
      <c r="G56" s="8"/>
      <c r="H56" s="8"/>
    </row>
    <row r="57" spans="1:30" x14ac:dyDescent="0.25">
      <c r="C57" s="8" t="s">
        <v>48</v>
      </c>
      <c r="D57" s="8"/>
      <c r="E57" s="8"/>
      <c r="F57" s="8"/>
      <c r="G57" s="8"/>
      <c r="H57" s="8"/>
    </row>
    <row r="61" spans="1:30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8"/>
      <c r="AC63" s="8"/>
      <c r="AD63" s="8"/>
    </row>
    <row r="64" spans="1:30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109" spans="1:1" x14ac:dyDescent="0.25">
      <c r="A10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43" spans="1:1" x14ac:dyDescent="0.25">
      <c r="A143" s="1"/>
    </row>
  </sheetData>
  <mergeCells count="4">
    <mergeCell ref="A1:J1"/>
    <mergeCell ref="A2:J2"/>
    <mergeCell ref="A4:J4"/>
    <mergeCell ref="A3:J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43"/>
  <sheetViews>
    <sheetView tabSelected="1" workbookViewId="0">
      <pane ySplit="5" topLeftCell="A6" activePane="bottomLeft" state="frozen"/>
      <selection pane="bottomLeft" activeCell="T19" sqref="T19"/>
    </sheetView>
  </sheetViews>
  <sheetFormatPr defaultRowHeight="15" x14ac:dyDescent="0.25"/>
  <cols>
    <col min="1" max="1" width="7.85546875" bestFit="1" customWidth="1"/>
    <col min="2" max="2" width="7.5703125" bestFit="1" customWidth="1"/>
    <col min="3" max="3" width="8" bestFit="1" customWidth="1"/>
    <col min="4" max="4" width="8.140625" bestFit="1" customWidth="1"/>
    <col min="6" max="6" width="10.85546875" customWidth="1"/>
  </cols>
  <sheetData>
    <row r="1" spans="1:7" x14ac:dyDescent="0.25">
      <c r="A1" s="14" t="s">
        <v>84</v>
      </c>
      <c r="B1" s="14"/>
      <c r="C1" s="14"/>
    </row>
    <row r="2" spans="1:7" x14ac:dyDescent="0.25">
      <c r="A2" s="14" t="s">
        <v>82</v>
      </c>
      <c r="B2" s="14"/>
      <c r="C2" s="14"/>
    </row>
    <row r="3" spans="1:7" x14ac:dyDescent="0.25">
      <c r="A3" s="14" t="s">
        <v>83</v>
      </c>
      <c r="B3" s="14"/>
      <c r="C3" s="14"/>
      <c r="F3" t="s">
        <v>85</v>
      </c>
      <c r="G3" s="15" t="s">
        <v>86</v>
      </c>
    </row>
    <row r="4" spans="1:7" x14ac:dyDescent="0.25">
      <c r="A4" s="14" t="s">
        <v>0</v>
      </c>
      <c r="B4" s="14"/>
      <c r="C4" s="14"/>
    </row>
    <row r="5" spans="1:7" ht="60" x14ac:dyDescent="0.25">
      <c r="A5" s="9" t="s">
        <v>1</v>
      </c>
      <c r="B5" s="5" t="s">
        <v>74</v>
      </c>
      <c r="C5" s="16" t="s">
        <v>87</v>
      </c>
      <c r="D5" s="2" t="s">
        <v>88</v>
      </c>
    </row>
    <row r="6" spans="1:7" x14ac:dyDescent="0.25">
      <c r="A6" t="s">
        <v>3</v>
      </c>
      <c r="B6" s="10">
        <v>0</v>
      </c>
      <c r="C6" s="17">
        <f>D6*10</f>
        <v>0</v>
      </c>
      <c r="D6">
        <v>0</v>
      </c>
    </row>
    <row r="7" spans="1:7" x14ac:dyDescent="0.25">
      <c r="A7" t="s">
        <v>6</v>
      </c>
      <c r="B7" s="4">
        <v>3.94</v>
      </c>
      <c r="C7" s="17">
        <f t="shared" ref="C7:C51" si="0">D7*10</f>
        <v>1.4000000000000001</v>
      </c>
      <c r="D7">
        <v>0.14000000000000001</v>
      </c>
    </row>
    <row r="8" spans="1:7" x14ac:dyDescent="0.25">
      <c r="A8" t="s">
        <v>7</v>
      </c>
      <c r="B8" s="4">
        <v>50.18</v>
      </c>
      <c r="C8" s="17">
        <f t="shared" si="0"/>
        <v>109.9</v>
      </c>
      <c r="D8">
        <v>10.99</v>
      </c>
    </row>
    <row r="9" spans="1:7" x14ac:dyDescent="0.25">
      <c r="A9" t="s">
        <v>9</v>
      </c>
      <c r="B9" s="4">
        <v>0.56000000000000005</v>
      </c>
      <c r="C9" s="17">
        <f t="shared" si="0"/>
        <v>2.2000000000000002</v>
      </c>
      <c r="D9">
        <v>0.22</v>
      </c>
    </row>
    <row r="10" spans="1:7" x14ac:dyDescent="0.25">
      <c r="A10" t="s">
        <v>10</v>
      </c>
      <c r="B10" s="4">
        <v>100.9</v>
      </c>
      <c r="C10" s="17">
        <f t="shared" si="0"/>
        <v>75</v>
      </c>
      <c r="D10">
        <v>7.5</v>
      </c>
    </row>
    <row r="11" spans="1:7" x14ac:dyDescent="0.25">
      <c r="A11" t="s">
        <v>11</v>
      </c>
      <c r="B11" s="4">
        <v>0.32</v>
      </c>
      <c r="C11" s="17">
        <f t="shared" si="0"/>
        <v>0.4</v>
      </c>
      <c r="D11">
        <v>0.04</v>
      </c>
    </row>
    <row r="12" spans="1:7" x14ac:dyDescent="0.25">
      <c r="A12" t="s">
        <v>12</v>
      </c>
      <c r="B12" s="4">
        <v>4.05</v>
      </c>
      <c r="C12" s="17">
        <f t="shared" si="0"/>
        <v>1.1000000000000001</v>
      </c>
      <c r="D12">
        <v>0.11</v>
      </c>
    </row>
    <row r="13" spans="1:7" x14ac:dyDescent="0.25">
      <c r="A13" t="s">
        <v>13</v>
      </c>
      <c r="B13" s="4">
        <v>8.7200000000000006</v>
      </c>
      <c r="C13" s="17">
        <f t="shared" si="0"/>
        <v>1</v>
      </c>
      <c r="D13">
        <v>0.1</v>
      </c>
    </row>
    <row r="14" spans="1:7" x14ac:dyDescent="0.25">
      <c r="A14" t="s">
        <v>14</v>
      </c>
      <c r="B14" s="4">
        <v>1.46</v>
      </c>
      <c r="C14" s="17">
        <f t="shared" si="0"/>
        <v>0.2</v>
      </c>
      <c r="D14">
        <v>0.02</v>
      </c>
    </row>
    <row r="15" spans="1:7" x14ac:dyDescent="0.25">
      <c r="A15" t="s">
        <v>15</v>
      </c>
      <c r="B15" s="11">
        <v>1.46</v>
      </c>
      <c r="C15" s="17">
        <f t="shared" si="0"/>
        <v>0.3</v>
      </c>
      <c r="D15">
        <v>0.03</v>
      </c>
    </row>
    <row r="16" spans="1:7" x14ac:dyDescent="0.25">
      <c r="A16" t="s">
        <v>16</v>
      </c>
      <c r="B16" s="4">
        <v>16.96</v>
      </c>
      <c r="C16" s="17">
        <f t="shared" si="0"/>
        <v>6.4</v>
      </c>
      <c r="D16">
        <v>0.64</v>
      </c>
    </row>
    <row r="17" spans="1:5" x14ac:dyDescent="0.25">
      <c r="A17" t="s">
        <v>17</v>
      </c>
      <c r="B17" s="4">
        <v>2.61</v>
      </c>
      <c r="C17" s="17">
        <f t="shared" si="0"/>
        <v>0.4</v>
      </c>
      <c r="D17">
        <v>0.04</v>
      </c>
    </row>
    <row r="18" spans="1:5" x14ac:dyDescent="0.25">
      <c r="A18" t="s">
        <v>18</v>
      </c>
      <c r="B18" s="4">
        <v>8.3699999999999992</v>
      </c>
      <c r="C18" s="17">
        <f t="shared" si="0"/>
        <v>0.70000000000000007</v>
      </c>
      <c r="D18">
        <v>7.0000000000000007E-2</v>
      </c>
    </row>
    <row r="19" spans="1:5" x14ac:dyDescent="0.25">
      <c r="A19" t="s">
        <v>19</v>
      </c>
      <c r="B19" s="11">
        <v>4.28</v>
      </c>
      <c r="C19" s="17">
        <f t="shared" si="0"/>
        <v>0.2</v>
      </c>
      <c r="D19">
        <v>0.02</v>
      </c>
    </row>
    <row r="20" spans="1:5" x14ac:dyDescent="0.25">
      <c r="A20" t="s">
        <v>20</v>
      </c>
      <c r="B20" s="4">
        <v>11.4</v>
      </c>
      <c r="C20" s="17">
        <f t="shared" si="0"/>
        <v>4.2</v>
      </c>
      <c r="D20">
        <v>0.42</v>
      </c>
    </row>
    <row r="21" spans="1:5" x14ac:dyDescent="0.25">
      <c r="A21" t="s">
        <v>21</v>
      </c>
      <c r="B21" s="11">
        <v>7.0000000000000007E-2</v>
      </c>
      <c r="C21" s="17">
        <f t="shared" si="0"/>
        <v>0</v>
      </c>
      <c r="D21">
        <v>0</v>
      </c>
    </row>
    <row r="22" spans="1:5" x14ac:dyDescent="0.25">
      <c r="A22" t="s">
        <v>22</v>
      </c>
      <c r="B22" s="10">
        <v>0</v>
      </c>
      <c r="C22" s="17">
        <f t="shared" si="0"/>
        <v>0</v>
      </c>
      <c r="D22">
        <v>0</v>
      </c>
    </row>
    <row r="23" spans="1:5" x14ac:dyDescent="0.25">
      <c r="A23" t="s">
        <v>23</v>
      </c>
      <c r="B23" s="4">
        <v>13.57</v>
      </c>
      <c r="C23" s="17">
        <f t="shared" si="0"/>
        <v>4.9000000000000004</v>
      </c>
      <c r="D23">
        <v>0.49</v>
      </c>
    </row>
    <row r="24" spans="1:5" x14ac:dyDescent="0.25">
      <c r="A24" t="s">
        <v>24</v>
      </c>
      <c r="B24" s="10">
        <v>0</v>
      </c>
      <c r="C24" s="17">
        <f t="shared" si="0"/>
        <v>0</v>
      </c>
      <c r="D24">
        <v>0</v>
      </c>
    </row>
    <row r="25" spans="1:5" x14ac:dyDescent="0.25">
      <c r="A25" t="s">
        <v>25</v>
      </c>
      <c r="B25" s="11">
        <v>0</v>
      </c>
      <c r="C25" s="17">
        <f t="shared" si="0"/>
        <v>0</v>
      </c>
      <c r="D25">
        <v>0</v>
      </c>
    </row>
    <row r="26" spans="1:5" x14ac:dyDescent="0.25">
      <c r="A26" t="s">
        <v>26</v>
      </c>
      <c r="B26" s="10">
        <v>0</v>
      </c>
      <c r="C26" s="17">
        <f t="shared" si="0"/>
        <v>0</v>
      </c>
      <c r="D26">
        <v>0</v>
      </c>
    </row>
    <row r="27" spans="1:5" x14ac:dyDescent="0.25">
      <c r="A27" t="s">
        <v>27</v>
      </c>
      <c r="B27" s="10">
        <v>0</v>
      </c>
      <c r="C27" s="17">
        <f t="shared" si="0"/>
        <v>0</v>
      </c>
      <c r="D27">
        <v>0</v>
      </c>
    </row>
    <row r="28" spans="1:5" x14ac:dyDescent="0.25">
      <c r="A28" t="s">
        <v>28</v>
      </c>
      <c r="B28" s="10">
        <v>0</v>
      </c>
      <c r="C28" s="17">
        <f t="shared" si="0"/>
        <v>0</v>
      </c>
      <c r="D28">
        <v>0</v>
      </c>
    </row>
    <row r="29" spans="1:5" x14ac:dyDescent="0.25">
      <c r="A29" t="s">
        <v>29</v>
      </c>
      <c r="B29" s="11">
        <v>5.24</v>
      </c>
      <c r="C29" s="17">
        <f t="shared" si="0"/>
        <v>0.70000000000000007</v>
      </c>
      <c r="D29">
        <v>7.0000000000000007E-2</v>
      </c>
      <c r="E29" s="3"/>
    </row>
    <row r="30" spans="1:5" x14ac:dyDescent="0.25">
      <c r="A30" t="s">
        <v>32</v>
      </c>
      <c r="B30" s="4">
        <v>7.76</v>
      </c>
      <c r="C30" s="17">
        <f t="shared" si="0"/>
        <v>0.6</v>
      </c>
      <c r="D30">
        <v>0.06</v>
      </c>
    </row>
    <row r="31" spans="1:5" x14ac:dyDescent="0.25">
      <c r="A31" t="s">
        <v>33</v>
      </c>
      <c r="B31" s="10">
        <v>0</v>
      </c>
      <c r="C31" s="17">
        <f t="shared" si="0"/>
        <v>0</v>
      </c>
      <c r="D31">
        <v>0</v>
      </c>
    </row>
    <row r="32" spans="1:5" x14ac:dyDescent="0.25">
      <c r="A32" t="s">
        <v>34</v>
      </c>
      <c r="B32" s="11">
        <v>13.52</v>
      </c>
      <c r="C32" s="17">
        <f t="shared" si="0"/>
        <v>2.3000000000000003</v>
      </c>
      <c r="D32">
        <v>0.23</v>
      </c>
    </row>
    <row r="33" spans="1:4" x14ac:dyDescent="0.25">
      <c r="A33" t="s">
        <v>35</v>
      </c>
      <c r="B33" s="11">
        <v>0</v>
      </c>
      <c r="C33" s="17">
        <f t="shared" si="0"/>
        <v>0</v>
      </c>
      <c r="D33">
        <v>0</v>
      </c>
    </row>
    <row r="34" spans="1:4" x14ac:dyDescent="0.25">
      <c r="A34" t="s">
        <v>36</v>
      </c>
      <c r="B34" s="4">
        <v>14.03</v>
      </c>
      <c r="C34" s="17">
        <f t="shared" si="0"/>
        <v>1.6</v>
      </c>
      <c r="D34">
        <v>0.16</v>
      </c>
    </row>
    <row r="35" spans="1:4" x14ac:dyDescent="0.25">
      <c r="A35" t="s">
        <v>37</v>
      </c>
      <c r="B35" s="11">
        <v>0</v>
      </c>
      <c r="C35" s="17">
        <f t="shared" si="0"/>
        <v>0</v>
      </c>
      <c r="D35">
        <v>0</v>
      </c>
    </row>
    <row r="36" spans="1:4" x14ac:dyDescent="0.25">
      <c r="A36" t="s">
        <v>38</v>
      </c>
      <c r="B36" s="13">
        <v>0</v>
      </c>
      <c r="C36" s="17">
        <f t="shared" si="0"/>
        <v>0</v>
      </c>
      <c r="D36">
        <v>0</v>
      </c>
    </row>
    <row r="37" spans="1:4" x14ac:dyDescent="0.25">
      <c r="A37" t="s">
        <v>39</v>
      </c>
      <c r="B37" s="11">
        <v>0</v>
      </c>
      <c r="C37" s="17">
        <f t="shared" si="0"/>
        <v>0</v>
      </c>
      <c r="D37">
        <v>0</v>
      </c>
    </row>
    <row r="38" spans="1:4" x14ac:dyDescent="0.25">
      <c r="A38" t="s">
        <v>40</v>
      </c>
      <c r="B38" s="11">
        <v>10.47</v>
      </c>
      <c r="C38" s="17">
        <f t="shared" si="0"/>
        <v>3.5</v>
      </c>
      <c r="D38">
        <v>0.35</v>
      </c>
    </row>
    <row r="39" spans="1:4" x14ac:dyDescent="0.25">
      <c r="A39" t="s">
        <v>41</v>
      </c>
      <c r="B39" s="11">
        <v>0</v>
      </c>
      <c r="C39" s="17">
        <f t="shared" si="0"/>
        <v>0</v>
      </c>
      <c r="D39">
        <v>0</v>
      </c>
    </row>
    <row r="40" spans="1:4" x14ac:dyDescent="0.25">
      <c r="A40" t="s">
        <v>42</v>
      </c>
      <c r="B40" s="11">
        <v>6.43</v>
      </c>
      <c r="C40" s="17">
        <f t="shared" si="0"/>
        <v>1.4000000000000001</v>
      </c>
      <c r="D40">
        <v>0.14000000000000001</v>
      </c>
    </row>
    <row r="41" spans="1:4" x14ac:dyDescent="0.25">
      <c r="A41" t="s">
        <v>49</v>
      </c>
      <c r="B41" s="10">
        <v>0</v>
      </c>
      <c r="C41" s="17">
        <f t="shared" si="0"/>
        <v>0</v>
      </c>
      <c r="D41">
        <v>0</v>
      </c>
    </row>
    <row r="42" spans="1:4" x14ac:dyDescent="0.25">
      <c r="A42" t="s">
        <v>50</v>
      </c>
      <c r="B42" s="10">
        <v>0</v>
      </c>
      <c r="C42" s="17">
        <f t="shared" si="0"/>
        <v>0</v>
      </c>
      <c r="D42">
        <v>0</v>
      </c>
    </row>
    <row r="43" spans="1:4" x14ac:dyDescent="0.25">
      <c r="A43" t="s">
        <v>51</v>
      </c>
      <c r="B43" s="4">
        <v>0.19</v>
      </c>
      <c r="C43" s="17">
        <f t="shared" si="0"/>
        <v>5.6999999999999993</v>
      </c>
      <c r="D43">
        <v>0.56999999999999995</v>
      </c>
    </row>
    <row r="44" spans="1:4" x14ac:dyDescent="0.25">
      <c r="A44" t="s">
        <v>52</v>
      </c>
      <c r="B44" s="4">
        <v>1.87</v>
      </c>
      <c r="C44" s="17">
        <f t="shared" si="0"/>
        <v>13.700000000000001</v>
      </c>
      <c r="D44">
        <v>1.37</v>
      </c>
    </row>
    <row r="45" spans="1:4" x14ac:dyDescent="0.25">
      <c r="A45" t="s">
        <v>53</v>
      </c>
      <c r="B45" s="11">
        <v>0</v>
      </c>
      <c r="C45" s="17">
        <f t="shared" si="0"/>
        <v>0</v>
      </c>
      <c r="D45">
        <v>0</v>
      </c>
    </row>
    <row r="46" spans="1:4" x14ac:dyDescent="0.25">
      <c r="A46" t="s">
        <v>54</v>
      </c>
      <c r="B46" s="11">
        <v>11.94</v>
      </c>
      <c r="C46" s="17">
        <f t="shared" si="0"/>
        <v>9.3000000000000007</v>
      </c>
      <c r="D46">
        <v>0.93</v>
      </c>
    </row>
    <row r="47" spans="1:4" x14ac:dyDescent="0.25">
      <c r="A47" t="s">
        <v>56</v>
      </c>
      <c r="B47" s="11">
        <v>57.46</v>
      </c>
      <c r="C47" s="17">
        <f t="shared" si="0"/>
        <v>7.3</v>
      </c>
      <c r="D47">
        <v>0.73</v>
      </c>
    </row>
    <row r="48" spans="1:4" x14ac:dyDescent="0.25">
      <c r="A48" t="s">
        <v>58</v>
      </c>
      <c r="B48" s="4">
        <v>56.14</v>
      </c>
      <c r="C48" s="17">
        <f t="shared" si="0"/>
        <v>7</v>
      </c>
      <c r="D48">
        <v>0.7</v>
      </c>
    </row>
    <row r="49" spans="1:23" x14ac:dyDescent="0.25">
      <c r="A49" t="s">
        <v>59</v>
      </c>
      <c r="B49" s="11">
        <v>0</v>
      </c>
      <c r="C49" s="17">
        <f t="shared" si="0"/>
        <v>0</v>
      </c>
      <c r="D49">
        <v>0</v>
      </c>
    </row>
    <row r="50" spans="1:23" x14ac:dyDescent="0.25">
      <c r="A50" t="s">
        <v>60</v>
      </c>
      <c r="B50" s="12">
        <v>0</v>
      </c>
      <c r="C50" s="17">
        <f t="shared" si="0"/>
        <v>0</v>
      </c>
      <c r="D50">
        <v>0</v>
      </c>
    </row>
    <row r="51" spans="1:23" x14ac:dyDescent="0.25">
      <c r="A51" t="s">
        <v>61</v>
      </c>
      <c r="B51" s="11">
        <v>0</v>
      </c>
      <c r="C51" s="17">
        <f t="shared" si="0"/>
        <v>0</v>
      </c>
      <c r="D51">
        <v>0</v>
      </c>
    </row>
    <row r="52" spans="1:23" x14ac:dyDescent="0.25">
      <c r="B52" s="8"/>
      <c r="C52" s="8"/>
    </row>
    <row r="53" spans="1:23" x14ac:dyDescent="0.25">
      <c r="B53" s="8"/>
      <c r="C53" s="8"/>
    </row>
    <row r="54" spans="1:23" x14ac:dyDescent="0.25">
      <c r="B54" s="8"/>
      <c r="C54" s="8"/>
    </row>
    <row r="55" spans="1:23" x14ac:dyDescent="0.25">
      <c r="B55" s="8"/>
      <c r="C55" s="8"/>
    </row>
    <row r="56" spans="1:23" x14ac:dyDescent="0.25">
      <c r="B56" s="8"/>
      <c r="C56" s="8"/>
    </row>
    <row r="57" spans="1:23" x14ac:dyDescent="0.25">
      <c r="B57" s="8"/>
      <c r="C57" s="8"/>
    </row>
    <row r="61" spans="1:23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8"/>
      <c r="W63" s="8"/>
    </row>
    <row r="64" spans="1:23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109" spans="1:1" x14ac:dyDescent="0.25">
      <c r="A109" s="1"/>
    </row>
    <row r="120" spans="1:2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43" spans="1:1" x14ac:dyDescent="0.25">
      <c r="A143" s="1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Amasib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Gaspar</dc:creator>
  <cp:lastModifiedBy>Martin Mendelsohn</cp:lastModifiedBy>
  <dcterms:created xsi:type="dcterms:W3CDTF">2020-06-12T15:28:09Z</dcterms:created>
  <dcterms:modified xsi:type="dcterms:W3CDTF">2020-06-22T13:35:16Z</dcterms:modified>
</cp:coreProperties>
</file>